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Formulare\AV Bauelemente\Arbeitsvorbereitung Fenster\"/>
    </mc:Choice>
  </mc:AlternateContent>
  <xr:revisionPtr revIDLastSave="0" documentId="13_ncr:1_{DAD540AD-8B45-4D6D-8D54-C1E8FBF2DCC4}" xr6:coauthVersionLast="47" xr6:coauthVersionMax="47" xr10:uidLastSave="{00000000-0000-0000-0000-000000000000}"/>
  <bookViews>
    <workbookView xWindow="28680" yWindow="270" windowWidth="29040" windowHeight="15840" xr2:uid="{CA7721A5-7A2B-48BF-90DF-E27EC2203A79}"/>
  </bookViews>
  <sheets>
    <sheet name="Tabelle1" sheetId="1" r:id="rId1"/>
    <sheet name="Tabelle3" sheetId="3" r:id="rId2"/>
    <sheet name="Tabelle2" sheetId="2" r:id="rId3"/>
  </sheets>
  <externalReferences>
    <externalReference r:id="rId4"/>
  </externalReferences>
  <definedNames>
    <definedName name="Aluschale">Tabelle2!$O$4:$O$13</definedName>
    <definedName name="Aluschalen">Tabelle2!$O$4:$O$13</definedName>
    <definedName name="Fenster">Tabelle2!$L$3:$L$13</definedName>
    <definedName name="Fensterart">Tabelle2!$L$3:$L$9</definedName>
    <definedName name="Fenstertyp">[1]Tabelle2!$L$3:$L$9</definedName>
    <definedName name="Holzart">[1]Tabelle2!$G$3:$G$5</definedName>
    <definedName name="OF">[1]Tabelle2!$E$3:$E$4</definedName>
    <definedName name="zubehör">Tabelle2!$I$3:$I$15</definedName>
    <definedName name="Zubehör_beschreibung">[1]Tabelle2!$I$3:$I$14</definedName>
    <definedName name="zubehörteile">Tabelle2!$I$3:$I$19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D54" i="1"/>
  <c r="Q29" i="1" l="1"/>
  <c r="Q30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Z79" i="1"/>
  <c r="B74" i="1"/>
  <c r="I71" i="1"/>
  <c r="E70" i="1"/>
  <c r="D70" i="1"/>
  <c r="C70" i="1"/>
  <c r="B70" i="1"/>
  <c r="A70" i="1"/>
  <c r="S23" i="1"/>
  <c r="U23" i="1"/>
  <c r="W23" i="1"/>
  <c r="Z82" i="1"/>
  <c r="T81" i="1"/>
  <c r="W30" i="1"/>
  <c r="U30" i="1"/>
  <c r="S30" i="1"/>
  <c r="Q31" i="1"/>
  <c r="Q32" i="1"/>
  <c r="Q33" i="1"/>
  <c r="I68" i="1"/>
  <c r="I69" i="1"/>
  <c r="I70" i="1"/>
  <c r="I72" i="1"/>
  <c r="I73" i="1"/>
  <c r="I74" i="1"/>
  <c r="I75" i="1"/>
  <c r="E67" i="1"/>
  <c r="E68" i="1"/>
  <c r="E69" i="1"/>
  <c r="D67" i="1"/>
  <c r="D68" i="1"/>
  <c r="D69" i="1"/>
  <c r="C67" i="1"/>
  <c r="C68" i="1"/>
  <c r="C69" i="1"/>
  <c r="B67" i="1"/>
  <c r="B68" i="1"/>
  <c r="B69" i="1"/>
  <c r="A67" i="1"/>
  <c r="A68" i="1"/>
  <c r="A69" i="1"/>
  <c r="B62" i="1"/>
  <c r="I52" i="1"/>
  <c r="Q34" i="1"/>
  <c r="I76" i="1"/>
  <c r="I77" i="1"/>
  <c r="I78" i="1"/>
  <c r="I79" i="1"/>
  <c r="I80" i="1"/>
  <c r="E72" i="1"/>
  <c r="E73" i="1"/>
  <c r="E74" i="1"/>
  <c r="E75" i="1"/>
  <c r="E76" i="1"/>
  <c r="E77" i="1"/>
  <c r="O77" i="1" s="1"/>
  <c r="E78" i="1"/>
  <c r="O78" i="1" s="1"/>
  <c r="E79" i="1"/>
  <c r="O79" i="1" s="1"/>
  <c r="D72" i="1"/>
  <c r="D73" i="1"/>
  <c r="D74" i="1"/>
  <c r="D75" i="1"/>
  <c r="D76" i="1"/>
  <c r="D77" i="1"/>
  <c r="D78" i="1"/>
  <c r="D79" i="1"/>
  <c r="C72" i="1"/>
  <c r="C73" i="1"/>
  <c r="C74" i="1"/>
  <c r="C75" i="1"/>
  <c r="C76" i="1"/>
  <c r="C77" i="1"/>
  <c r="C78" i="1"/>
  <c r="C79" i="1"/>
  <c r="B72" i="1"/>
  <c r="B73" i="1"/>
  <c r="B75" i="1"/>
  <c r="B76" i="1"/>
  <c r="B77" i="1"/>
  <c r="B78" i="1"/>
  <c r="B79" i="1"/>
  <c r="A74" i="1"/>
  <c r="A75" i="1"/>
  <c r="A76" i="1"/>
  <c r="A77" i="1"/>
  <c r="A78" i="1"/>
  <c r="A72" i="1"/>
  <c r="A73" i="1"/>
  <c r="A79" i="1"/>
  <c r="W25" i="1"/>
  <c r="W26" i="1"/>
  <c r="W27" i="1"/>
  <c r="W28" i="1"/>
  <c r="W29" i="1"/>
  <c r="W31" i="1"/>
  <c r="W32" i="1"/>
  <c r="W33" i="1"/>
  <c r="U25" i="1"/>
  <c r="U26" i="1"/>
  <c r="U27" i="1"/>
  <c r="U28" i="1"/>
  <c r="U29" i="1"/>
  <c r="U31" i="1"/>
  <c r="U32" i="1"/>
  <c r="U33" i="1"/>
  <c r="S26" i="1"/>
  <c r="S27" i="1"/>
  <c r="S28" i="1"/>
  <c r="S29" i="1"/>
  <c r="S31" i="1"/>
  <c r="S32" i="1"/>
  <c r="S33" i="1"/>
  <c r="S25" i="1"/>
  <c r="W20" i="1"/>
  <c r="W21" i="1"/>
  <c r="W22" i="1"/>
  <c r="U20" i="1"/>
  <c r="U21" i="1"/>
  <c r="U22" i="1"/>
  <c r="S20" i="1"/>
  <c r="S21" i="1"/>
  <c r="S22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71" i="1"/>
  <c r="A51" i="1"/>
  <c r="I53" i="1"/>
  <c r="S53" i="1" s="1"/>
  <c r="I54" i="1"/>
  <c r="S54" i="1" s="1"/>
  <c r="I55" i="1"/>
  <c r="S55" i="1" s="1"/>
  <c r="I56" i="1"/>
  <c r="S56" i="1" s="1"/>
  <c r="I57" i="1"/>
  <c r="S57" i="1" s="1"/>
  <c r="I58" i="1"/>
  <c r="I59" i="1"/>
  <c r="S59" i="1" s="1"/>
  <c r="I60" i="1"/>
  <c r="S60" i="1" s="1"/>
  <c r="I61" i="1"/>
  <c r="S61" i="1" s="1"/>
  <c r="I62" i="1"/>
  <c r="S62" i="1" s="1"/>
  <c r="I63" i="1"/>
  <c r="S63" i="1" s="1"/>
  <c r="I64" i="1"/>
  <c r="S64" i="1" s="1"/>
  <c r="I65" i="1"/>
  <c r="S65" i="1" s="1"/>
  <c r="I67" i="1"/>
  <c r="S66" i="1" s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7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D26" i="3" s="1"/>
  <c r="C65" i="1"/>
  <c r="C66" i="1"/>
  <c r="C7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F26" i="3" s="1"/>
  <c r="E65" i="1"/>
  <c r="E66" i="1"/>
  <c r="E71" i="1"/>
  <c r="U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4" i="1"/>
  <c r="U3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4" i="1"/>
  <c r="W34" i="1"/>
  <c r="I51" i="1"/>
  <c r="L11" i="3"/>
  <c r="M11" i="3"/>
  <c r="K11" i="3"/>
  <c r="I11" i="3"/>
  <c r="E11" i="3"/>
  <c r="F11" i="3"/>
  <c r="C11" i="3"/>
  <c r="D11" i="3"/>
  <c r="B11" i="3"/>
  <c r="T64" i="1" l="1"/>
  <c r="S76" i="1"/>
  <c r="S52" i="1"/>
  <c r="T52" i="1" s="1"/>
  <c r="S75" i="1"/>
  <c r="T75" i="1" s="1"/>
  <c r="S68" i="1"/>
  <c r="T68" i="1" s="1"/>
  <c r="S74" i="1"/>
  <c r="T74" i="1" s="1"/>
  <c r="S72" i="1"/>
  <c r="T72" i="1" s="1"/>
  <c r="S71" i="1"/>
  <c r="T71" i="1" s="1"/>
  <c r="S69" i="1"/>
  <c r="T69" i="1" s="1"/>
  <c r="S70" i="1"/>
  <c r="T70" i="1" s="1"/>
  <c r="S67" i="1"/>
  <c r="T67" i="1" s="1"/>
  <c r="T60" i="1"/>
  <c r="S78" i="1"/>
  <c r="T78" i="1" s="1"/>
  <c r="S77" i="1"/>
  <c r="T77" i="1" s="1"/>
  <c r="T56" i="1"/>
  <c r="T76" i="1"/>
  <c r="T63" i="1"/>
  <c r="T55" i="1"/>
  <c r="T62" i="1"/>
  <c r="T54" i="1"/>
  <c r="T61" i="1"/>
  <c r="T53" i="1"/>
  <c r="T59" i="1"/>
  <c r="T66" i="1"/>
  <c r="T65" i="1"/>
  <c r="S73" i="1"/>
  <c r="T73" i="1" s="1"/>
  <c r="S58" i="1"/>
  <c r="T58" i="1" s="1"/>
  <c r="O32" i="1"/>
  <c r="T57" i="1"/>
  <c r="S79" i="1"/>
  <c r="T79" i="1" s="1"/>
  <c r="J26" i="3"/>
  <c r="E26" i="3"/>
  <c r="B17" i="3"/>
  <c r="C24" i="3"/>
  <c r="D20" i="3"/>
  <c r="B54" i="1"/>
  <c r="C16" i="3" s="1"/>
  <c r="B16" i="3"/>
  <c r="B66" i="1"/>
  <c r="W4" i="1"/>
  <c r="B65" i="1"/>
  <c r="D25" i="3"/>
  <c r="D16" i="3" l="1"/>
  <c r="J16" i="3"/>
  <c r="F16" i="3"/>
  <c r="E16" i="3"/>
  <c r="D14" i="3"/>
  <c r="Q4" i="1"/>
  <c r="Q35" i="1" s="1"/>
  <c r="B25" i="3"/>
  <c r="E51" i="1"/>
  <c r="D51" i="1"/>
  <c r="D21" i="3"/>
  <c r="D22" i="3"/>
  <c r="D19" i="3"/>
  <c r="D18" i="3"/>
  <c r="D17" i="3"/>
  <c r="D15" i="3"/>
  <c r="C51" i="1"/>
  <c r="D13" i="3" s="1"/>
  <c r="B22" i="3"/>
  <c r="B21" i="3"/>
  <c r="B20" i="3"/>
  <c r="B19" i="3"/>
  <c r="B18" i="3"/>
  <c r="B15" i="3"/>
  <c r="B14" i="3"/>
  <c r="B13" i="3"/>
  <c r="B23" i="3"/>
  <c r="B24" i="3"/>
  <c r="B26" i="3"/>
  <c r="B52" i="1"/>
  <c r="C14" i="3" s="1"/>
  <c r="B53" i="1"/>
  <c r="C15" i="3" s="1"/>
  <c r="B55" i="1"/>
  <c r="C17" i="3" s="1"/>
  <c r="B56" i="1"/>
  <c r="C18" i="3" s="1"/>
  <c r="B57" i="1"/>
  <c r="C19" i="3" s="1"/>
  <c r="B58" i="1"/>
  <c r="C20" i="3" s="1"/>
  <c r="B59" i="1"/>
  <c r="C21" i="3" s="1"/>
  <c r="B60" i="1"/>
  <c r="C22" i="3" s="1"/>
  <c r="B61" i="1"/>
  <c r="C23" i="3" s="1"/>
  <c r="B63" i="1"/>
  <c r="C25" i="3" s="1"/>
  <c r="B64" i="1"/>
  <c r="C26" i="3" s="1"/>
  <c r="Q84" i="1"/>
  <c r="J22" i="3" l="1"/>
  <c r="J21" i="3"/>
  <c r="J13" i="3"/>
  <c r="J17" i="3"/>
  <c r="J20" i="3"/>
  <c r="J19" i="3"/>
  <c r="J18" i="3"/>
  <c r="J15" i="3"/>
  <c r="L16" i="3"/>
  <c r="J14" i="3"/>
  <c r="F20" i="3"/>
  <c r="F21" i="3"/>
  <c r="F18" i="3"/>
  <c r="F14" i="3"/>
  <c r="F19" i="3"/>
  <c r="F17" i="3"/>
  <c r="F22" i="3"/>
  <c r="E17" i="3"/>
  <c r="L17" i="3"/>
  <c r="E15" i="3"/>
  <c r="L15" i="3"/>
  <c r="E14" i="3"/>
  <c r="L14" i="3"/>
  <c r="L21" i="3"/>
  <c r="E21" i="3"/>
  <c r="E13" i="3"/>
  <c r="L13" i="3"/>
  <c r="S92" i="1"/>
  <c r="F13" i="3"/>
  <c r="E22" i="3"/>
  <c r="L22" i="3"/>
  <c r="S94" i="1"/>
  <c r="F15" i="3"/>
  <c r="L20" i="3"/>
  <c r="E20" i="3"/>
  <c r="L18" i="3"/>
  <c r="E18" i="3"/>
  <c r="L19" i="3"/>
  <c r="E19" i="3"/>
  <c r="E23" i="3"/>
  <c r="X13" i="1"/>
  <c r="Q93" i="1"/>
  <c r="Q101" i="1"/>
  <c r="Q92" i="1"/>
  <c r="Q100" i="1"/>
  <c r="Q97" i="1"/>
  <c r="Q99" i="1"/>
  <c r="Q98" i="1"/>
  <c r="Q96" i="1"/>
  <c r="Q94" i="1"/>
  <c r="B71" i="1"/>
  <c r="D23" i="3"/>
  <c r="D24" i="3"/>
  <c r="Q95" i="1"/>
  <c r="J23" i="3"/>
  <c r="B51" i="1"/>
  <c r="C13" i="3" s="1"/>
  <c r="V50" i="1"/>
  <c r="S51" i="1" l="1"/>
  <c r="M16" i="3"/>
  <c r="J25" i="3"/>
  <c r="J24" i="3"/>
  <c r="F23" i="3"/>
  <c r="L23" i="3"/>
  <c r="F25" i="3"/>
  <c r="F24" i="3"/>
  <c r="E25" i="3"/>
  <c r="L25" i="3"/>
  <c r="E24" i="3"/>
  <c r="L24" i="3"/>
  <c r="C48" i="1"/>
  <c r="T51" i="1" l="1"/>
  <c r="T80" i="1" s="1"/>
  <c r="S80" i="1"/>
  <c r="G13" i="3"/>
  <c r="G15" i="3"/>
  <c r="H15" i="3"/>
  <c r="G22" i="3"/>
  <c r="H22" i="3"/>
  <c r="H17" i="3"/>
  <c r="G17" i="3"/>
  <c r="G24" i="3"/>
  <c r="H24" i="3"/>
  <c r="G14" i="3"/>
  <c r="H14" i="3"/>
  <c r="H19" i="3"/>
  <c r="G19" i="3"/>
  <c r="H18" i="3"/>
  <c r="G18" i="3"/>
  <c r="S93" i="1"/>
  <c r="S95" i="1"/>
  <c r="S96" i="1"/>
  <c r="S97" i="1"/>
  <c r="S98" i="1"/>
  <c r="S99" i="1"/>
  <c r="S100" i="1"/>
  <c r="S101" i="1"/>
  <c r="E93" i="1"/>
  <c r="E94" i="1"/>
  <c r="E95" i="1"/>
  <c r="E96" i="1"/>
  <c r="E97" i="1"/>
  <c r="E98" i="1"/>
  <c r="E99" i="1"/>
  <c r="E100" i="1"/>
  <c r="E101" i="1"/>
  <c r="E102" i="1"/>
  <c r="E103" i="1"/>
  <c r="E92" i="1"/>
  <c r="M93" i="1"/>
  <c r="M94" i="1"/>
  <c r="M95" i="1"/>
  <c r="M96" i="1"/>
  <c r="M97" i="1"/>
  <c r="M98" i="1"/>
  <c r="M99" i="1"/>
  <c r="M100" i="1"/>
  <c r="M101" i="1"/>
  <c r="M102" i="1"/>
  <c r="M103" i="1"/>
  <c r="M92" i="1"/>
  <c r="L93" i="1"/>
  <c r="L94" i="1"/>
  <c r="L95" i="1"/>
  <c r="L96" i="1"/>
  <c r="L97" i="1"/>
  <c r="L98" i="1"/>
  <c r="L99" i="1"/>
  <c r="L100" i="1"/>
  <c r="L101" i="1"/>
  <c r="L102" i="1"/>
  <c r="A93" i="1"/>
  <c r="A94" i="1"/>
  <c r="A95" i="1"/>
  <c r="A96" i="1"/>
  <c r="A97" i="1"/>
  <c r="A98" i="1"/>
  <c r="A99" i="1"/>
  <c r="A100" i="1"/>
  <c r="A101" i="1"/>
  <c r="A102" i="1"/>
  <c r="A103" i="1"/>
  <c r="A104" i="1"/>
  <c r="A92" i="1"/>
  <c r="L92" i="1"/>
  <c r="D93" i="1"/>
  <c r="D94" i="1"/>
  <c r="D95" i="1"/>
  <c r="D96" i="1"/>
  <c r="D97" i="1"/>
  <c r="D98" i="1"/>
  <c r="D99" i="1"/>
  <c r="D100" i="1"/>
  <c r="D101" i="1"/>
  <c r="D102" i="1"/>
  <c r="D103" i="1"/>
  <c r="D92" i="1"/>
  <c r="C93" i="1"/>
  <c r="C94" i="1"/>
  <c r="C95" i="1"/>
  <c r="C96" i="1"/>
  <c r="C97" i="1"/>
  <c r="C98" i="1"/>
  <c r="C99" i="1"/>
  <c r="C100" i="1"/>
  <c r="C101" i="1"/>
  <c r="C102" i="1"/>
  <c r="C103" i="1"/>
  <c r="C104" i="1"/>
  <c r="C92" i="1"/>
  <c r="B93" i="1"/>
  <c r="B94" i="1"/>
  <c r="B95" i="1"/>
  <c r="B96" i="1"/>
  <c r="B97" i="1"/>
  <c r="B98" i="1"/>
  <c r="B99" i="1"/>
  <c r="B100" i="1"/>
  <c r="B101" i="1"/>
  <c r="B102" i="1"/>
  <c r="B103" i="1"/>
  <c r="B104" i="1"/>
  <c r="B92" i="1"/>
  <c r="H13" i="3" l="1"/>
  <c r="G25" i="3"/>
  <c r="H25" i="3"/>
  <c r="C42" i="1"/>
  <c r="S34" i="1"/>
  <c r="S4" i="1" l="1"/>
  <c r="C44" i="1"/>
  <c r="AB50" i="1"/>
  <c r="AA50" i="1"/>
  <c r="X50" i="1"/>
  <c r="W50" i="1"/>
  <c r="U50" i="1"/>
  <c r="Y70" i="1" l="1"/>
  <c r="Z70" i="1" s="1"/>
  <c r="AC70" i="1" s="1"/>
  <c r="Y80" i="1"/>
  <c r="AD67" i="1"/>
  <c r="AD68" i="1"/>
  <c r="AD69" i="1"/>
  <c r="AD70" i="1"/>
  <c r="Y67" i="1"/>
  <c r="Z67" i="1" s="1"/>
  <c r="AC67" i="1" s="1"/>
  <c r="Y79" i="1"/>
  <c r="Y69" i="1"/>
  <c r="Z69" i="1" s="1"/>
  <c r="AC69" i="1" s="1"/>
  <c r="Y77" i="1"/>
  <c r="Z77" i="1" s="1"/>
  <c r="AC77" i="1" s="1"/>
  <c r="Y71" i="1"/>
  <c r="Z71" i="1" s="1"/>
  <c r="AC71" i="1" s="1"/>
  <c r="Y75" i="1"/>
  <c r="Z75" i="1" s="1"/>
  <c r="AC75" i="1" s="1"/>
  <c r="Y68" i="1"/>
  <c r="Z68" i="1" s="1"/>
  <c r="AC68" i="1" s="1"/>
  <c r="Y72" i="1"/>
  <c r="Z72" i="1" s="1"/>
  <c r="AC72" i="1" s="1"/>
  <c r="Y74" i="1"/>
  <c r="Z74" i="1" s="1"/>
  <c r="AC74" i="1" s="1"/>
  <c r="Y73" i="1"/>
  <c r="Z73" i="1" s="1"/>
  <c r="AC73" i="1" s="1"/>
  <c r="Y78" i="1"/>
  <c r="Z78" i="1" s="1"/>
  <c r="AC78" i="1" s="1"/>
  <c r="Y76" i="1"/>
  <c r="Z76" i="1" s="1"/>
  <c r="AC76" i="1" s="1"/>
  <c r="Y81" i="1"/>
  <c r="Z81" i="1" s="1"/>
  <c r="AD79" i="1"/>
  <c r="AD72" i="1"/>
  <c r="AD73" i="1"/>
  <c r="AD74" i="1"/>
  <c r="AD76" i="1"/>
  <c r="AD75" i="1"/>
  <c r="AD77" i="1"/>
  <c r="AD78" i="1"/>
  <c r="Y52" i="1"/>
  <c r="Z52" i="1" s="1"/>
  <c r="Y60" i="1"/>
  <c r="Z60" i="1" s="1"/>
  <c r="Y53" i="1"/>
  <c r="Z53" i="1" s="1"/>
  <c r="Y61" i="1"/>
  <c r="Z61" i="1" s="1"/>
  <c r="Y54" i="1"/>
  <c r="Z54" i="1" s="1"/>
  <c r="AC54" i="1" s="1"/>
  <c r="Y62" i="1"/>
  <c r="Z62" i="1" s="1"/>
  <c r="Y55" i="1"/>
  <c r="Z55" i="1" s="1"/>
  <c r="Y63" i="1"/>
  <c r="Z63" i="1" s="1"/>
  <c r="Y56" i="1"/>
  <c r="Z56" i="1" s="1"/>
  <c r="Y64" i="1"/>
  <c r="Z64" i="1" s="1"/>
  <c r="Y59" i="1"/>
  <c r="Z59" i="1" s="1"/>
  <c r="Y57" i="1"/>
  <c r="Z57" i="1" s="1"/>
  <c r="Y65" i="1"/>
  <c r="Z65" i="1" s="1"/>
  <c r="AC65" i="1" s="1"/>
  <c r="Y58" i="1"/>
  <c r="Z58" i="1" s="1"/>
  <c r="Y66" i="1"/>
  <c r="Z66" i="1" s="1"/>
  <c r="AC66" i="1" s="1"/>
  <c r="Y51" i="1"/>
  <c r="Z51" i="1" s="1"/>
  <c r="AD65" i="1"/>
  <c r="AD54" i="1"/>
  <c r="O16" i="3" s="1"/>
  <c r="AD71" i="1"/>
  <c r="AC52" i="1" l="1"/>
  <c r="N14" i="3" s="1"/>
  <c r="Z80" i="1"/>
  <c r="AC53" i="1"/>
  <c r="N15" i="3" s="1"/>
  <c r="AC51" i="1"/>
  <c r="N13" i="3" s="1"/>
  <c r="I21" i="3"/>
  <c r="I25" i="3"/>
  <c r="K21" i="3"/>
  <c r="I20" i="3"/>
  <c r="I26" i="3"/>
  <c r="I23" i="3"/>
  <c r="I16" i="3"/>
  <c r="K17" i="3"/>
  <c r="AC55" i="1"/>
  <c r="N17" i="3" s="1"/>
  <c r="K18" i="3"/>
  <c r="AC56" i="1"/>
  <c r="N18" i="3" s="1"/>
  <c r="K19" i="3"/>
  <c r="AC57" i="1"/>
  <c r="N19" i="3" s="1"/>
  <c r="I24" i="3"/>
  <c r="I22" i="3"/>
  <c r="I19" i="3"/>
  <c r="I18" i="3"/>
  <c r="K14" i="3"/>
  <c r="I14" i="3"/>
  <c r="K13" i="3"/>
  <c r="I13" i="3"/>
  <c r="I17" i="3"/>
  <c r="K15" i="3"/>
  <c r="I15" i="3"/>
  <c r="AD66" i="1"/>
  <c r="AD51" i="1"/>
  <c r="W35" i="1"/>
  <c r="U35" i="1"/>
  <c r="S35" i="1"/>
  <c r="AC59" i="1" l="1"/>
  <c r="N21" i="3" s="1"/>
  <c r="K16" i="3"/>
  <c r="N16" i="3"/>
  <c r="K23" i="3"/>
  <c r="AC61" i="1"/>
  <c r="N23" i="3" s="1"/>
  <c r="K26" i="3"/>
  <c r="AC64" i="1"/>
  <c r="N26" i="3" s="1"/>
  <c r="K20" i="3"/>
  <c r="AC58" i="1"/>
  <c r="N20" i="3" s="1"/>
  <c r="K22" i="3"/>
  <c r="AC60" i="1"/>
  <c r="N22" i="3" s="1"/>
  <c r="K24" i="3"/>
  <c r="AC62" i="1"/>
  <c r="N24" i="3" s="1"/>
  <c r="K25" i="3"/>
  <c r="AC63" i="1"/>
  <c r="N25" i="3" s="1"/>
  <c r="M13" i="3"/>
  <c r="O13" i="3"/>
  <c r="M14" i="3"/>
  <c r="AD52" i="1"/>
  <c r="O14" i="3" s="1"/>
  <c r="C40" i="1"/>
  <c r="C39" i="1"/>
  <c r="C41" i="1"/>
  <c r="C43" i="1"/>
  <c r="AD58" i="1" l="1"/>
  <c r="O20" i="3" s="1"/>
  <c r="M20" i="3"/>
  <c r="AD60" i="1"/>
  <c r="O22" i="3" s="1"/>
  <c r="M22" i="3"/>
  <c r="AD57" i="1"/>
  <c r="O19" i="3" s="1"/>
  <c r="M19" i="3"/>
  <c r="M15" i="3"/>
  <c r="AD53" i="1"/>
  <c r="O15" i="3" s="1"/>
  <c r="AD55" i="1"/>
  <c r="O17" i="3" s="1"/>
  <c r="M17" i="3"/>
  <c r="M24" i="3"/>
  <c r="AD62" i="1"/>
  <c r="O24" i="3" s="1"/>
  <c r="M26" i="3"/>
  <c r="AD64" i="1"/>
  <c r="O26" i="3" s="1"/>
  <c r="AD59" i="1"/>
  <c r="O21" i="3" s="1"/>
  <c r="M21" i="3"/>
  <c r="M25" i="3"/>
  <c r="AD63" i="1"/>
  <c r="O25" i="3" s="1"/>
  <c r="AD56" i="1"/>
  <c r="O18" i="3" s="1"/>
  <c r="M18" i="3"/>
  <c r="AD61" i="1"/>
  <c r="O23" i="3" s="1"/>
  <c r="M23" i="3"/>
  <c r="AA81" i="1"/>
  <c r="M28" i="3" l="1"/>
  <c r="O2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Jung, Florian</author>
  </authors>
  <commentList>
    <comment ref="Q40" authorId="0" shapeId="0" xr:uid="{E1F063BF-2CC0-4E69-8C2A-CEA9D5A9C7F8}">
      <text>
        <r>
          <rPr>
            <b/>
            <sz val="9"/>
            <color indexed="81"/>
            <rFont val="Segoe UI"/>
            <charset val="1"/>
          </rPr>
          <t>Jung, Florian:</t>
        </r>
        <r>
          <rPr>
            <sz val="9"/>
            <color indexed="81"/>
            <rFont val="Segoe UI"/>
            <charset val="1"/>
          </rPr>
          <t xml:space="preserve">
incl Nutfräsung</t>
        </r>
      </text>
    </comment>
    <comment ref="B66" authorId="0" shapeId="0" xr:uid="{02BD9A5E-480C-4075-AF3A-CB5149B8855C}">
      <text>
        <r>
          <rPr>
            <b/>
            <sz val="9"/>
            <color indexed="81"/>
            <rFont val="Segoe UI"/>
            <charset val="1"/>
          </rPr>
          <t>Jung, Florian:</t>
        </r>
        <r>
          <rPr>
            <sz val="9"/>
            <color indexed="81"/>
            <rFont val="Segoe UI"/>
            <charset val="1"/>
          </rPr>
          <t xml:space="preserve">
v7gu0lw2406050748079
Code Köster</t>
        </r>
      </text>
    </comment>
  </commentList>
</comments>
</file>

<file path=xl/sharedStrings.xml><?xml version="1.0" encoding="utf-8"?>
<sst xmlns="http://schemas.openxmlformats.org/spreadsheetml/2006/main" count="134" uniqueCount="116">
  <si>
    <t>Stk</t>
  </si>
  <si>
    <t>breite</t>
  </si>
  <si>
    <t>Höhe</t>
  </si>
  <si>
    <t>Lfm montage</t>
  </si>
  <si>
    <t>APUleiste</t>
  </si>
  <si>
    <t>Fensterbleche</t>
  </si>
  <si>
    <t>Fenstertyp</t>
  </si>
  <si>
    <t>Garda D</t>
  </si>
  <si>
    <t>Glaspreis</t>
  </si>
  <si>
    <t>Aufschläge</t>
  </si>
  <si>
    <t>Pos:</t>
  </si>
  <si>
    <t>Beschreibung</t>
  </si>
  <si>
    <t>Breite</t>
  </si>
  <si>
    <t>Holzart</t>
  </si>
  <si>
    <t>Grundpreis</t>
  </si>
  <si>
    <t>Glas index</t>
  </si>
  <si>
    <t>OF Holz-Alu</t>
  </si>
  <si>
    <t>Schienen</t>
  </si>
  <si>
    <t>Summe Mat</t>
  </si>
  <si>
    <t>Grundrabatt:</t>
  </si>
  <si>
    <t xml:space="preserve">Objektrabatt: </t>
  </si>
  <si>
    <t>Verwaltungsbonus:</t>
  </si>
  <si>
    <t>Formularbonus:</t>
  </si>
  <si>
    <t>Gemeinkosten:</t>
  </si>
  <si>
    <t>Gewinn:</t>
  </si>
  <si>
    <t>Verkaufspreis:</t>
  </si>
  <si>
    <t>Fichte</t>
  </si>
  <si>
    <t>Kunde:</t>
  </si>
  <si>
    <t>Art der Arbeit:</t>
  </si>
  <si>
    <t>Pos</t>
  </si>
  <si>
    <t>Sonder</t>
  </si>
  <si>
    <t>Selbstkosten einzeln:</t>
  </si>
  <si>
    <t>montage dämmung</t>
  </si>
  <si>
    <t>montage panzer</t>
  </si>
  <si>
    <t>montage bleche</t>
  </si>
  <si>
    <t>montage Haustüre</t>
  </si>
  <si>
    <t>Demontage fenster</t>
  </si>
  <si>
    <t>Sachbearbeiter</t>
  </si>
  <si>
    <t>OF Holz</t>
  </si>
  <si>
    <t>Green Evolution</t>
  </si>
  <si>
    <t>Lärche</t>
  </si>
  <si>
    <t>RC2 beschläge</t>
  </si>
  <si>
    <t>Blue Evolution</t>
  </si>
  <si>
    <t>Eiche</t>
  </si>
  <si>
    <t>Leer</t>
  </si>
  <si>
    <t>Klima Futur</t>
  </si>
  <si>
    <t>Voll verdeckte beschläge</t>
  </si>
  <si>
    <t>Verbreiterungen</t>
  </si>
  <si>
    <t>Garda 82</t>
  </si>
  <si>
    <t>Garda HF</t>
  </si>
  <si>
    <t>Aluschale sonder</t>
  </si>
  <si>
    <t>Beschläge sonder</t>
  </si>
  <si>
    <t>Sonderglas</t>
  </si>
  <si>
    <t>Sonder griffe</t>
  </si>
  <si>
    <t>ApuleistenSprossen</t>
  </si>
  <si>
    <t>Aufpreis schräg Element</t>
  </si>
  <si>
    <t>Sprossen</t>
  </si>
  <si>
    <t>Flügelheber</t>
  </si>
  <si>
    <t>Glas preis</t>
  </si>
  <si>
    <t>Einstandsprofil</t>
  </si>
  <si>
    <t>Fensterbleche:</t>
  </si>
  <si>
    <t>Skt</t>
  </si>
  <si>
    <t xml:space="preserve">Länge </t>
  </si>
  <si>
    <t>Ausladung</t>
  </si>
  <si>
    <t>Kante</t>
  </si>
  <si>
    <t xml:space="preserve">Rolllädenpanzer: </t>
  </si>
  <si>
    <t xml:space="preserve">Blechfalz </t>
  </si>
  <si>
    <t>Stärke Aussenputz</t>
  </si>
  <si>
    <t>Blende am Ziegelkasten vorne / Leibung:</t>
  </si>
  <si>
    <t>Kompriband</t>
  </si>
  <si>
    <t>Rollloführung</t>
  </si>
  <si>
    <t>Zuschlag höhe panzer</t>
  </si>
  <si>
    <t>Särke führung</t>
  </si>
  <si>
    <t>Luft in der Führungsnut</t>
  </si>
  <si>
    <t>montage Fenster</t>
  </si>
  <si>
    <t>Legende:</t>
  </si>
  <si>
    <t xml:space="preserve">Aluschale </t>
  </si>
  <si>
    <t>Fliegengitter</t>
  </si>
  <si>
    <t>Mehrpreis Eiche</t>
  </si>
  <si>
    <t>Eckpfosten</t>
  </si>
  <si>
    <t>€/LFM</t>
  </si>
  <si>
    <t>Einstandsprofil 100mm</t>
  </si>
  <si>
    <t>LF montage Fenster</t>
  </si>
  <si>
    <t>LF Montage Hebeschiebetüren</t>
  </si>
  <si>
    <t>Verbreiterung 20mm</t>
  </si>
  <si>
    <t>Fglaspreis absturzsichernd</t>
  </si>
  <si>
    <t>Summe mat gesamt</t>
  </si>
  <si>
    <t>Lfm pro position</t>
  </si>
  <si>
    <t>ohne Rabatt</t>
  </si>
  <si>
    <t>Ges ohne Rabatt</t>
  </si>
  <si>
    <t>Aufschläge 5 und 15%</t>
  </si>
  <si>
    <t>VK einzel</t>
  </si>
  <si>
    <t>VK gesamt</t>
  </si>
  <si>
    <t>G-punkt laschen</t>
  </si>
  <si>
    <t>Objektnummer:</t>
  </si>
  <si>
    <t xml:space="preserve">1Flg. </t>
  </si>
  <si>
    <t>2Flg.</t>
  </si>
  <si>
    <t>Selbstkosten Gesamt</t>
  </si>
  <si>
    <t>Verbreiterung</t>
  </si>
  <si>
    <t>DK</t>
  </si>
  <si>
    <t>Trockenvergl.</t>
  </si>
  <si>
    <t>90 / 150</t>
  </si>
  <si>
    <t>Breiter Stock</t>
  </si>
  <si>
    <t>breiter Stock</t>
  </si>
  <si>
    <t>Eckblech</t>
  </si>
  <si>
    <t>2x</t>
  </si>
  <si>
    <t>S75 144€</t>
  </si>
  <si>
    <t>Verbreiterung 200</t>
  </si>
  <si>
    <t>314 Fblech</t>
  </si>
  <si>
    <t>lfm 18€</t>
  </si>
  <si>
    <t>Schrägschnitt</t>
  </si>
  <si>
    <t>Fläche m²</t>
  </si>
  <si>
    <t>lfm 120€</t>
  </si>
  <si>
    <t>Kopplung   .lfm 62€</t>
  </si>
  <si>
    <t>lfm 120 €</t>
  </si>
  <si>
    <t>S72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</si>
</sst>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i/>
      <sz val="11"/>
      <color theme="1"/>
      <name val="Calibri"/>
      <family val="2"/>
      <scheme val="minor"/>
    </font>
    <font>
      <i/>
      <sz val="11"/>
      <color theme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1" xfId="0" applyBorder="1"/>
    <xf numFmtId="0" fontId="4" fillId="2" borderId="2" xfId="0" applyFont="1" applyFill="1" applyBorder="1"/>
    <xf numFmtId="0" fontId="3" fillId="0" borderId="3" xfId="0" applyFont="1" applyBorder="1"/>
    <xf numFmtId="0" fontId="3" fillId="0" borderId="1" xfId="0" applyFont="1" applyBorder="1"/>
    <xf numFmtId="0" fontId="0" fillId="0" borderId="4" xfId="0" applyBorder="1"/>
    <xf numFmtId="44" fontId="3" fillId="0" borderId="1" xfId="1" applyFont="1" applyBorder="1"/>
    <xf numFmtId="2" fontId="0" fillId="0" borderId="1" xfId="0" applyNumberFormat="1" applyBorder="1" applyAlignment="1">
      <alignment horizontal="left" vertical="top"/>
    </xf>
    <xf numFmtId="0" fontId="3" fillId="0" borderId="4" xfId="0" applyFont="1" applyBorder="1"/>
    <xf numFmtId="44" fontId="0" fillId="0" borderId="1" xfId="1" applyFont="1" applyBorder="1"/>
    <xf numFmtId="0" fontId="3" fillId="0" borderId="5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44" fontId="3" fillId="0" borderId="1" xfId="1" applyFont="1" applyFill="1" applyBorder="1"/>
    <xf numFmtId="0" fontId="0" fillId="3" borderId="1" xfId="0" applyFill="1" applyBorder="1"/>
    <xf numFmtId="44" fontId="0" fillId="3" borderId="1" xfId="1" applyFont="1" applyFill="1" applyBorder="1" applyAlignment="1">
      <alignment horizontal="left" vertical="top"/>
    </xf>
    <xf numFmtId="44" fontId="0" fillId="3" borderId="1" xfId="1" applyFont="1" applyFill="1" applyBorder="1"/>
    <xf numFmtId="0" fontId="3" fillId="3" borderId="1" xfId="0" applyFont="1" applyFill="1" applyBorder="1"/>
    <xf numFmtId="0" fontId="3" fillId="3" borderId="5" xfId="0" applyFont="1" applyFill="1" applyBorder="1"/>
    <xf numFmtId="44" fontId="0" fillId="3" borderId="5" xfId="0" applyNumberFormat="1" applyFill="1" applyBorder="1" applyAlignment="1">
      <alignment horizontal="center" vertical="center"/>
    </xf>
    <xf numFmtId="44" fontId="0" fillId="4" borderId="1" xfId="1" applyFont="1" applyFill="1" applyBorder="1" applyAlignment="1">
      <alignment horizontal="left" vertical="top"/>
    </xf>
    <xf numFmtId="2" fontId="0" fillId="4" borderId="1" xfId="1" applyNumberFormat="1" applyFont="1" applyFill="1" applyBorder="1" applyAlignment="1">
      <alignment horizontal="left" vertical="top"/>
    </xf>
    <xf numFmtId="1" fontId="0" fillId="6" borderId="1" xfId="0" applyNumberFormat="1" applyFill="1" applyBorder="1"/>
    <xf numFmtId="0" fontId="0" fillId="6" borderId="1" xfId="0" applyFill="1" applyBorder="1"/>
    <xf numFmtId="2" fontId="3" fillId="2" borderId="6" xfId="0" applyNumberFormat="1" applyFont="1" applyFill="1" applyBorder="1"/>
    <xf numFmtId="2" fontId="3" fillId="2" borderId="7" xfId="0" applyNumberFormat="1" applyFont="1" applyFill="1" applyBorder="1"/>
    <xf numFmtId="0" fontId="3" fillId="0" borderId="8" xfId="0" applyFont="1" applyBorder="1"/>
    <xf numFmtId="0" fontId="3" fillId="2" borderId="9" xfId="0" applyFont="1" applyFill="1" applyBorder="1"/>
    <xf numFmtId="0" fontId="3" fillId="0" borderId="0" xfId="0" applyFont="1"/>
    <xf numFmtId="0" fontId="3" fillId="6" borderId="1" xfId="0" applyFont="1" applyFill="1" applyBorder="1"/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/>
    </xf>
    <xf numFmtId="0" fontId="0" fillId="8" borderId="1" xfId="0" applyFill="1" applyBorder="1"/>
    <xf numFmtId="44" fontId="0" fillId="0" borderId="0" xfId="0" applyNumberFormat="1"/>
    <xf numFmtId="0" fontId="0" fillId="4" borderId="1" xfId="0" applyFill="1" applyBorder="1"/>
    <xf numFmtId="2" fontId="0" fillId="0" borderId="0" xfId="0" applyNumberFormat="1"/>
    <xf numFmtId="44" fontId="0" fillId="0" borderId="0" xfId="1" applyFont="1"/>
    <xf numFmtId="49" fontId="0" fillId="0" borderId="1" xfId="0" applyNumberFormat="1" applyBorder="1" applyAlignment="1">
      <alignment horizontal="right"/>
    </xf>
    <xf numFmtId="44" fontId="3" fillId="5" borderId="1" xfId="1" applyFont="1" applyFill="1" applyBorder="1"/>
    <xf numFmtId="0" fontId="0" fillId="4" borderId="1" xfId="0" applyFill="1" applyBorder="1" applyAlignment="1">
      <alignment horizontal="left"/>
    </xf>
    <xf numFmtId="2" fontId="3" fillId="2" borderId="15" xfId="0" applyNumberFormat="1" applyFont="1" applyFill="1" applyBorder="1"/>
    <xf numFmtId="0" fontId="3" fillId="5" borderId="0" xfId="0" applyFont="1" applyFill="1" applyAlignment="1">
      <alignment horizontal="center"/>
    </xf>
    <xf numFmtId="0" fontId="0" fillId="6" borderId="0" xfId="0" applyFill="1"/>
    <xf numFmtId="2" fontId="0" fillId="9" borderId="1" xfId="0" applyNumberFormat="1" applyFill="1" applyBorder="1"/>
    <xf numFmtId="44" fontId="0" fillId="2" borderId="1" xfId="1" applyFont="1" applyFill="1" applyBorder="1"/>
    <xf numFmtId="1" fontId="0" fillId="9" borderId="1" xfId="0" applyNumberFormat="1" applyFill="1" applyBorder="1"/>
    <xf numFmtId="44" fontId="0" fillId="10" borderId="1" xfId="0" applyNumberFormat="1" applyFill="1" applyBorder="1"/>
    <xf numFmtId="44" fontId="0" fillId="11" borderId="1" xfId="0" applyNumberFormat="1" applyFill="1" applyBorder="1"/>
    <xf numFmtId="2" fontId="3" fillId="0" borderId="1" xfId="0" applyNumberFormat="1" applyFont="1" applyBorder="1"/>
    <xf numFmtId="44" fontId="0" fillId="9" borderId="1" xfId="1" applyFont="1" applyFill="1" applyBorder="1"/>
    <xf numFmtId="2" fontId="0" fillId="10" borderId="1" xfId="0" applyNumberFormat="1" applyFill="1" applyBorder="1"/>
    <xf numFmtId="2" fontId="0" fillId="2" borderId="1" xfId="1" applyNumberFormat="1" applyFont="1" applyFill="1" applyBorder="1"/>
    <xf numFmtId="44" fontId="2" fillId="2" borderId="1" xfId="0" applyNumberFormat="1" applyFont="1" applyFill="1" applyBorder="1"/>
    <xf numFmtId="2" fontId="0" fillId="4" borderId="1" xfId="0" applyNumberFormat="1" applyFill="1" applyBorder="1" applyAlignment="1">
      <alignment horizontal="left"/>
    </xf>
    <xf numFmtId="49" fontId="0" fillId="4" borderId="1" xfId="0" applyNumberFormat="1" applyFill="1" applyBorder="1"/>
    <xf numFmtId="2" fontId="0" fillId="7" borderId="1" xfId="0" applyNumberFormat="1" applyFill="1" applyBorder="1" applyAlignment="1">
      <alignment horizontal="left" vertical="top"/>
    </xf>
    <xf numFmtId="0" fontId="0" fillId="8" borderId="0" xfId="0" applyFill="1"/>
    <xf numFmtId="0" fontId="0" fillId="3" borderId="0" xfId="0" applyFill="1"/>
    <xf numFmtId="44" fontId="0" fillId="4" borderId="0" xfId="1" applyFont="1" applyFill="1" applyBorder="1" applyAlignment="1">
      <alignment horizontal="left" vertical="top"/>
    </xf>
    <xf numFmtId="2" fontId="0" fillId="4" borderId="0" xfId="1" applyNumberFormat="1" applyFont="1" applyFill="1" applyBorder="1" applyAlignment="1">
      <alignment horizontal="left" vertical="top"/>
    </xf>
    <xf numFmtId="44" fontId="0" fillId="3" borderId="0" xfId="1" applyFont="1" applyFill="1" applyBorder="1" applyAlignment="1">
      <alignment horizontal="left" vertical="top"/>
    </xf>
    <xf numFmtId="44" fontId="0" fillId="3" borderId="0" xfId="1" applyFont="1" applyFill="1" applyBorder="1"/>
    <xf numFmtId="0" fontId="3" fillId="3" borderId="0" xfId="0" applyFont="1" applyFill="1"/>
    <xf numFmtId="44" fontId="0" fillId="0" borderId="0" xfId="1" applyFont="1" applyBorder="1"/>
    <xf numFmtId="0" fontId="9" fillId="0" borderId="0" xfId="0" applyFont="1"/>
    <xf numFmtId="0" fontId="8" fillId="0" borderId="0" xfId="0" applyFont="1"/>
    <xf numFmtId="0" fontId="10" fillId="0" borderId="1" xfId="0" applyFont="1" applyBorder="1"/>
    <xf numFmtId="0" fontId="10" fillId="0" borderId="4" xfId="0" applyFont="1" applyBorder="1"/>
    <xf numFmtId="0" fontId="8" fillId="0" borderId="1" xfId="0" applyFont="1" applyBorder="1"/>
    <xf numFmtId="44" fontId="8" fillId="4" borderId="1" xfId="1" applyFont="1" applyFill="1" applyBorder="1" applyAlignment="1">
      <alignment horizontal="left" vertical="top"/>
    </xf>
    <xf numFmtId="0" fontId="10" fillId="0" borderId="1" xfId="0" applyFont="1" applyBorder="1" applyAlignment="1">
      <alignment horizontal="center"/>
    </xf>
    <xf numFmtId="1" fontId="8" fillId="6" borderId="1" xfId="0" applyNumberFormat="1" applyFont="1" applyFill="1" applyBorder="1"/>
    <xf numFmtId="0" fontId="8" fillId="6" borderId="1" xfId="0" applyFont="1" applyFill="1" applyBorder="1"/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/>
    <xf numFmtId="0" fontId="8" fillId="0" borderId="5" xfId="0" applyFont="1" applyBorder="1"/>
    <xf numFmtId="0" fontId="10" fillId="0" borderId="11" xfId="0" applyFont="1" applyBorder="1" applyAlignment="1">
      <alignment horizontal="left"/>
    </xf>
    <xf numFmtId="0" fontId="10" fillId="0" borderId="11" xfId="0" applyFont="1" applyBorder="1" applyAlignment="1">
      <alignment horizontal="center"/>
    </xf>
    <xf numFmtId="0" fontId="8" fillId="6" borderId="0" xfId="0" applyFont="1" applyFill="1"/>
    <xf numFmtId="2" fontId="0" fillId="7" borderId="0" xfId="0" applyNumberFormat="1" applyFill="1" applyAlignment="1">
      <alignment horizontal="left" vertical="top"/>
    </xf>
    <xf numFmtId="44" fontId="8" fillId="4" borderId="0" xfId="1" applyFont="1" applyFill="1" applyBorder="1" applyAlignment="1">
      <alignment horizontal="left" vertical="top"/>
    </xf>
    <xf numFmtId="164" fontId="0" fillId="4" borderId="1" xfId="0" applyNumberFormat="1" applyFill="1" applyBorder="1"/>
    <xf numFmtId="164" fontId="8" fillId="4" borderId="1" xfId="0" applyNumberFormat="1" applyFont="1" applyFill="1" applyBorder="1"/>
    <xf numFmtId="44" fontId="4" fillId="2" borderId="5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44" fontId="4" fillId="2" borderId="5" xfId="1" applyFont="1" applyFill="1" applyBorder="1" applyAlignment="1">
      <alignment horizontal="left" indent="1"/>
    </xf>
    <xf numFmtId="44" fontId="4" fillId="2" borderId="10" xfId="1" applyFont="1" applyFill="1" applyBorder="1" applyAlignment="1">
      <alignment horizontal="left" indent="1"/>
    </xf>
    <xf numFmtId="0" fontId="0" fillId="0" borderId="1" xfId="0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5" xfId="0" applyFont="1" applyBorder="1" applyAlignment="1">
      <alignment horizontal="left"/>
    </xf>
    <xf numFmtId="0" fontId="10" fillId="0" borderId="10" xfId="0" applyFont="1" applyBorder="1" applyAlignment="1">
      <alignment horizontal="left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2-my.sharepoint.de/personal/f_jung_mer2_de/Documents/Desktop/kalkulatio.xlsx" TargetMode="External"/><Relationship Id="rId1" Type="http://schemas.openxmlformats.org/officeDocument/2006/relationships/externalLinkPath" Target="https://mer2-my.sharepoint.de/personal/f_jung_mer2_de/Documents/Desktop/kalkulat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Tabelle2"/>
    </sheetNames>
    <sheetDataSet>
      <sheetData sheetId="0"/>
      <sheetData sheetId="1">
        <row r="3">
          <cell r="E3" t="str">
            <v>OF Holz</v>
          </cell>
          <cell r="G3" t="str">
            <v>Fichte</v>
          </cell>
          <cell r="I3" t="str">
            <v>Schienen</v>
          </cell>
          <cell r="L3" t="str">
            <v>Green Evolution</v>
          </cell>
        </row>
        <row r="4">
          <cell r="E4" t="str">
            <v>OF Holz-Alu</v>
          </cell>
          <cell r="G4" t="str">
            <v>Lärche</v>
          </cell>
          <cell r="I4" t="str">
            <v>RC2 beschläge</v>
          </cell>
          <cell r="L4" t="str">
            <v>Blue Evolution</v>
          </cell>
        </row>
        <row r="5">
          <cell r="G5" t="str">
            <v>Eiche</v>
          </cell>
          <cell r="I5" t="str">
            <v>Leer</v>
          </cell>
          <cell r="L5" t="str">
            <v>Klima Futur</v>
          </cell>
        </row>
        <row r="6">
          <cell r="I6" t="str">
            <v>Voll verdeckte beschläge</v>
          </cell>
          <cell r="L6" t="str">
            <v>Garda D</v>
          </cell>
        </row>
        <row r="7">
          <cell r="I7" t="str">
            <v>Verbreiterungen</v>
          </cell>
          <cell r="L7" t="str">
            <v>Garda 82</v>
          </cell>
        </row>
        <row r="8">
          <cell r="I8" t="str">
            <v>Sonder</v>
          </cell>
          <cell r="L8" t="str">
            <v>Garda HF</v>
          </cell>
        </row>
        <row r="9">
          <cell r="I9" t="str">
            <v>Aluschale sonder</v>
          </cell>
          <cell r="L9" t="str">
            <v>Sonder</v>
          </cell>
        </row>
        <row r="10">
          <cell r="I10" t="str">
            <v>Beschläge sonder</v>
          </cell>
        </row>
        <row r="11">
          <cell r="I11" t="str">
            <v>Sonderglas</v>
          </cell>
        </row>
        <row r="12">
          <cell r="I12" t="str">
            <v>Sonder griffe</v>
          </cell>
        </row>
        <row r="13">
          <cell r="I13" t="str">
            <v>ApuleistenSprossen</v>
          </cell>
        </row>
        <row r="14">
          <cell r="I14" t="str">
            <v>Aufpreis schräg Element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26F4-911A-4008-A791-F2629EEE0BCE}">
  <dimension ref="A2:AF104"/>
  <sheetViews>
    <sheetView tabSelected="1" topLeftCell="A18" zoomScale="115" zoomScaleNormal="115" workbookViewId="0">
      <pane xSplit="1" topLeftCell="O1" activePane="topRight" state="frozen"/>
      <selection activeCell="A47" sqref="A47"/>
      <selection pane="topRight" activeCell="G74" sqref="G74:G77"/>
    </sheetView>
  </sheetViews>
  <sheetFormatPr baseColWidth="10" defaultRowHeight="15" x14ac:dyDescent="0.25"/>
  <cols>
    <col min="1" max="1" width="28" customWidth="1"/>
    <col min="2" max="2" width="25.85546875" customWidth="1"/>
    <col min="3" max="3" width="7.28515625" customWidth="1"/>
    <col min="7" max="7" width="15.85546875" customWidth="1"/>
    <col min="9" max="9" width="17.140625" customWidth="1"/>
    <col min="11" max="11" width="10.42578125" customWidth="1"/>
    <col min="12" max="12" width="11" style="66" customWidth="1"/>
    <col min="13" max="13" width="24.28515625" style="66" customWidth="1"/>
    <col min="14" max="15" width="13.28515625" style="66" customWidth="1"/>
    <col min="16" max="16" width="14.28515625" style="66" customWidth="1"/>
    <col min="17" max="17" width="14.28515625" customWidth="1"/>
    <col min="18" max="18" width="17.140625" customWidth="1"/>
    <col min="19" max="20" width="16.5703125" customWidth="1"/>
    <col min="21" max="21" width="10.7109375" customWidth="1"/>
    <col min="22" max="22" width="9.85546875" customWidth="1"/>
    <col min="23" max="23" width="9.28515625" customWidth="1"/>
    <col min="24" max="24" width="11.7109375" customWidth="1"/>
    <col min="25" max="25" width="20" customWidth="1"/>
    <col min="26" max="26" width="25.42578125" customWidth="1"/>
    <col min="27" max="27" width="14" customWidth="1"/>
    <col min="28" max="29" width="14.140625" customWidth="1"/>
    <col min="30" max="30" width="14.28515625" customWidth="1"/>
  </cols>
  <sheetData>
    <row r="2" spans="1:25" x14ac:dyDescent="0.25">
      <c r="A2" s="88" t="s">
        <v>27</v>
      </c>
      <c r="B2" s="88"/>
      <c r="C2" s="89"/>
      <c r="D2" s="90"/>
      <c r="E2" s="91"/>
      <c r="I2" s="1" t="s">
        <v>29</v>
      </c>
      <c r="J2" s="1" t="s">
        <v>0</v>
      </c>
      <c r="K2" s="1" t="s">
        <v>1</v>
      </c>
      <c r="L2" s="69" t="s">
        <v>2</v>
      </c>
      <c r="M2" s="69" t="s">
        <v>11</v>
      </c>
      <c r="N2" s="69"/>
      <c r="O2" s="1" t="s">
        <v>111</v>
      </c>
      <c r="P2" s="69"/>
      <c r="Q2" s="1" t="s">
        <v>3</v>
      </c>
      <c r="R2" s="1"/>
      <c r="S2" s="1" t="s">
        <v>69</v>
      </c>
      <c r="T2" s="1"/>
      <c r="U2" s="1" t="s">
        <v>4</v>
      </c>
      <c r="V2" s="1"/>
      <c r="W2" s="1" t="s">
        <v>5</v>
      </c>
    </row>
    <row r="3" spans="1:25" x14ac:dyDescent="0.25">
      <c r="A3" s="88" t="s">
        <v>94</v>
      </c>
      <c r="B3" s="88"/>
      <c r="C3" s="89"/>
      <c r="D3" s="90"/>
      <c r="E3" s="91"/>
      <c r="I3" s="1"/>
      <c r="J3" s="1"/>
      <c r="K3" s="1"/>
      <c r="L3" s="69"/>
      <c r="M3" s="69"/>
      <c r="N3" s="69"/>
      <c r="O3" s="69"/>
      <c r="P3" s="69"/>
      <c r="Q3" s="1"/>
      <c r="R3" s="1"/>
      <c r="S3" s="1"/>
      <c r="T3" s="1"/>
      <c r="U3" s="1"/>
      <c r="V3" s="1"/>
      <c r="W3" s="1"/>
    </row>
    <row r="4" spans="1:25" x14ac:dyDescent="0.25">
      <c r="A4" s="88" t="s">
        <v>28</v>
      </c>
      <c r="B4" s="88"/>
      <c r="C4" s="89"/>
      <c r="D4" s="90"/>
      <c r="E4" s="91"/>
      <c r="I4" s="54"/>
      <c r="J4" s="40"/>
      <c r="K4" s="55"/>
      <c r="L4" s="40"/>
      <c r="M4" s="75"/>
      <c r="N4" s="75"/>
      <c r="O4" s="82">
        <f>(K4*L4)*J4</f>
        <v>0</v>
      </c>
      <c r="P4" s="75"/>
      <c r="Q4" s="35">
        <f>((K4+L4)*2)*J4</f>
        <v>0</v>
      </c>
      <c r="R4" s="35"/>
      <c r="S4" s="1">
        <f t="shared" ref="S4:S33" si="0">(L4*2)+K4</f>
        <v>0</v>
      </c>
      <c r="T4" s="1"/>
      <c r="U4" s="1">
        <f t="shared" ref="U4:U34" si="1">((L4*4)+K4)*J4</f>
        <v>0</v>
      </c>
      <c r="V4" s="1"/>
      <c r="W4" s="38">
        <f t="shared" ref="W4:W34" si="2">K4*J4</f>
        <v>0</v>
      </c>
    </row>
    <row r="5" spans="1:25" x14ac:dyDescent="0.25">
      <c r="A5" s="92" t="s">
        <v>37</v>
      </c>
      <c r="B5" s="93"/>
      <c r="C5" s="94"/>
      <c r="D5" s="94"/>
      <c r="E5" s="94"/>
      <c r="I5" s="54"/>
      <c r="J5" s="40"/>
      <c r="K5" s="55"/>
      <c r="L5" s="40"/>
      <c r="M5" s="75"/>
      <c r="N5" s="75"/>
      <c r="O5" s="82">
        <f t="shared" ref="O5:O29" si="3">(K5*L5)*J5</f>
        <v>0</v>
      </c>
      <c r="P5" s="75"/>
      <c r="Q5" s="35">
        <f t="shared" ref="Q5:Q30" si="4">((K5+L5)*2)*J5</f>
        <v>0</v>
      </c>
      <c r="R5" s="35"/>
      <c r="S5" s="1">
        <f t="shared" si="0"/>
        <v>0</v>
      </c>
      <c r="T5" s="1"/>
      <c r="U5" s="1">
        <f t="shared" si="1"/>
        <v>0</v>
      </c>
      <c r="V5" s="1"/>
      <c r="W5" s="38">
        <f t="shared" si="2"/>
        <v>0</v>
      </c>
    </row>
    <row r="6" spans="1:25" x14ac:dyDescent="0.25">
      <c r="I6" s="54"/>
      <c r="J6" s="40"/>
      <c r="K6" s="55"/>
      <c r="L6" s="40"/>
      <c r="M6" s="75"/>
      <c r="N6" s="75"/>
      <c r="O6" s="82">
        <f t="shared" si="3"/>
        <v>0</v>
      </c>
      <c r="P6" s="75"/>
      <c r="Q6" s="35">
        <f t="shared" si="4"/>
        <v>0</v>
      </c>
      <c r="R6" s="35"/>
      <c r="S6" s="1">
        <f t="shared" si="0"/>
        <v>0</v>
      </c>
      <c r="T6" s="1"/>
      <c r="U6" s="1">
        <f t="shared" si="1"/>
        <v>0</v>
      </c>
      <c r="V6" s="1"/>
      <c r="W6" s="38">
        <f t="shared" si="2"/>
        <v>0</v>
      </c>
    </row>
    <row r="7" spans="1:25" x14ac:dyDescent="0.25">
      <c r="I7" s="54"/>
      <c r="J7" s="40"/>
      <c r="K7" s="55"/>
      <c r="L7" s="40"/>
      <c r="M7" s="75"/>
      <c r="N7" s="75"/>
      <c r="O7" s="82">
        <f t="shared" si="3"/>
        <v>0</v>
      </c>
      <c r="P7" s="75"/>
      <c r="Q7" s="35">
        <f t="shared" si="4"/>
        <v>0</v>
      </c>
      <c r="R7" s="35"/>
      <c r="S7" s="1">
        <f t="shared" si="0"/>
        <v>0</v>
      </c>
      <c r="T7" s="1"/>
      <c r="U7" s="1">
        <f t="shared" si="1"/>
        <v>0</v>
      </c>
      <c r="V7" s="1"/>
      <c r="W7" s="38">
        <f t="shared" si="2"/>
        <v>0</v>
      </c>
    </row>
    <row r="8" spans="1:25" x14ac:dyDescent="0.25">
      <c r="I8" s="54"/>
      <c r="J8" s="40"/>
      <c r="K8" s="55"/>
      <c r="L8" s="40"/>
      <c r="M8" s="75"/>
      <c r="N8" s="75"/>
      <c r="O8" s="82">
        <f t="shared" si="3"/>
        <v>0</v>
      </c>
      <c r="P8" s="75"/>
      <c r="Q8" s="35">
        <f t="shared" si="4"/>
        <v>0</v>
      </c>
      <c r="R8" s="35"/>
      <c r="S8" s="1">
        <f t="shared" si="0"/>
        <v>0</v>
      </c>
      <c r="T8" s="1"/>
      <c r="U8" s="1">
        <f t="shared" si="1"/>
        <v>0</v>
      </c>
      <c r="V8" s="1"/>
      <c r="W8" s="38">
        <f t="shared" si="2"/>
        <v>0</v>
      </c>
    </row>
    <row r="9" spans="1:25" x14ac:dyDescent="0.25">
      <c r="I9" s="54"/>
      <c r="J9" s="40"/>
      <c r="K9" s="55"/>
      <c r="L9" s="40"/>
      <c r="M9" s="75"/>
      <c r="N9" s="75"/>
      <c r="O9" s="82">
        <f t="shared" si="3"/>
        <v>0</v>
      </c>
      <c r="P9" s="75"/>
      <c r="Q9" s="35">
        <f t="shared" si="4"/>
        <v>0</v>
      </c>
      <c r="R9" s="35"/>
      <c r="S9" s="1">
        <f t="shared" si="0"/>
        <v>0</v>
      </c>
      <c r="T9" s="1"/>
      <c r="U9" s="1">
        <f t="shared" si="1"/>
        <v>0</v>
      </c>
      <c r="V9" s="1"/>
      <c r="W9" s="38">
        <f t="shared" si="2"/>
        <v>0</v>
      </c>
    </row>
    <row r="10" spans="1:25" x14ac:dyDescent="0.25">
      <c r="I10" s="54"/>
      <c r="J10" s="40"/>
      <c r="K10" s="55"/>
      <c r="L10" s="40"/>
      <c r="M10" s="75"/>
      <c r="N10" s="75"/>
      <c r="O10" s="82">
        <f t="shared" si="3"/>
        <v>0</v>
      </c>
      <c r="P10" s="75"/>
      <c r="Q10" s="35">
        <f t="shared" si="4"/>
        <v>0</v>
      </c>
      <c r="R10" s="35"/>
      <c r="S10" s="1">
        <f t="shared" si="0"/>
        <v>0</v>
      </c>
      <c r="T10" s="1"/>
      <c r="U10" s="1">
        <f t="shared" si="1"/>
        <v>0</v>
      </c>
      <c r="V10" s="1"/>
      <c r="W10" s="38">
        <f t="shared" si="2"/>
        <v>0</v>
      </c>
    </row>
    <row r="11" spans="1:25" x14ac:dyDescent="0.25">
      <c r="I11" s="54"/>
      <c r="J11" s="40"/>
      <c r="K11" s="55"/>
      <c r="L11" s="40"/>
      <c r="M11" s="75"/>
      <c r="N11" s="75"/>
      <c r="O11" s="82">
        <f t="shared" si="3"/>
        <v>0</v>
      </c>
      <c r="P11" s="75"/>
      <c r="Q11" s="35">
        <f t="shared" si="4"/>
        <v>0</v>
      </c>
      <c r="R11" s="35"/>
      <c r="S11" s="1">
        <f t="shared" si="0"/>
        <v>0</v>
      </c>
      <c r="T11" s="1"/>
      <c r="U11" s="1">
        <f t="shared" si="1"/>
        <v>0</v>
      </c>
      <c r="V11" s="1"/>
      <c r="W11" s="38">
        <f t="shared" si="2"/>
        <v>0</v>
      </c>
      <c r="X11">
        <v>0</v>
      </c>
      <c r="Y11" t="s">
        <v>83</v>
      </c>
    </row>
    <row r="12" spans="1:25" x14ac:dyDescent="0.25">
      <c r="I12" s="54"/>
      <c r="J12" s="40"/>
      <c r="K12" s="55"/>
      <c r="L12" s="40"/>
      <c r="M12" s="75"/>
      <c r="N12" s="75"/>
      <c r="O12" s="82">
        <f t="shared" si="3"/>
        <v>0</v>
      </c>
      <c r="P12" s="75"/>
      <c r="Q12" s="35">
        <f t="shared" si="4"/>
        <v>0</v>
      </c>
      <c r="R12" s="35"/>
      <c r="S12" s="1">
        <f t="shared" si="0"/>
        <v>0</v>
      </c>
      <c r="T12" s="1"/>
      <c r="U12" s="1">
        <f t="shared" si="1"/>
        <v>0</v>
      </c>
      <c r="V12" s="1"/>
      <c r="W12" s="38">
        <f t="shared" si="2"/>
        <v>0</v>
      </c>
    </row>
    <row r="13" spans="1:25" x14ac:dyDescent="0.25">
      <c r="I13" s="54"/>
      <c r="J13" s="40"/>
      <c r="K13" s="55"/>
      <c r="L13" s="40"/>
      <c r="M13" s="75"/>
      <c r="N13" s="75"/>
      <c r="O13" s="82">
        <f t="shared" si="3"/>
        <v>0</v>
      </c>
      <c r="P13" s="75"/>
      <c r="Q13" s="35">
        <f t="shared" si="4"/>
        <v>0</v>
      </c>
      <c r="R13" s="35"/>
      <c r="S13" s="1">
        <f t="shared" si="0"/>
        <v>0</v>
      </c>
      <c r="T13" s="1"/>
      <c r="U13" s="1">
        <f t="shared" si="1"/>
        <v>0</v>
      </c>
      <c r="V13" s="1"/>
      <c r="W13" s="38">
        <f t="shared" si="2"/>
        <v>0</v>
      </c>
      <c r="X13" s="36">
        <f>Q35-X11</f>
        <v>0</v>
      </c>
      <c r="Y13" t="s">
        <v>82</v>
      </c>
    </row>
    <row r="14" spans="1:25" x14ac:dyDescent="0.25">
      <c r="I14" s="54"/>
      <c r="J14" s="40"/>
      <c r="K14" s="55"/>
      <c r="L14" s="40"/>
      <c r="M14" s="75"/>
      <c r="N14" s="75"/>
      <c r="O14" s="82">
        <f t="shared" si="3"/>
        <v>0</v>
      </c>
      <c r="P14" s="75"/>
      <c r="Q14" s="35">
        <f t="shared" si="4"/>
        <v>0</v>
      </c>
      <c r="R14" s="35"/>
      <c r="S14" s="1">
        <f t="shared" si="0"/>
        <v>0</v>
      </c>
      <c r="T14" s="5"/>
      <c r="U14" s="1">
        <f t="shared" si="1"/>
        <v>0</v>
      </c>
      <c r="V14" s="5"/>
      <c r="W14" s="38">
        <f t="shared" si="2"/>
        <v>0</v>
      </c>
    </row>
    <row r="15" spans="1:25" x14ac:dyDescent="0.25">
      <c r="I15" s="54"/>
      <c r="J15" s="40"/>
      <c r="K15" s="55"/>
      <c r="L15" s="40"/>
      <c r="M15" s="75"/>
      <c r="N15" s="75"/>
      <c r="O15" s="82">
        <f t="shared" si="3"/>
        <v>0</v>
      </c>
      <c r="P15" s="75"/>
      <c r="Q15" s="35">
        <f t="shared" si="4"/>
        <v>0</v>
      </c>
      <c r="R15" s="35"/>
      <c r="S15" s="1">
        <f t="shared" si="0"/>
        <v>0</v>
      </c>
      <c r="T15" s="5"/>
      <c r="U15" s="1">
        <f t="shared" si="1"/>
        <v>0</v>
      </c>
      <c r="V15" s="5"/>
      <c r="W15" s="38">
        <f t="shared" si="2"/>
        <v>0</v>
      </c>
    </row>
    <row r="16" spans="1:25" x14ac:dyDescent="0.25">
      <c r="I16" s="54"/>
      <c r="J16" s="40"/>
      <c r="K16" s="55"/>
      <c r="L16" s="40"/>
      <c r="M16" s="75"/>
      <c r="N16" s="75"/>
      <c r="O16" s="82">
        <f t="shared" si="3"/>
        <v>0</v>
      </c>
      <c r="P16" s="75"/>
      <c r="Q16" s="35">
        <f t="shared" si="4"/>
        <v>0</v>
      </c>
      <c r="R16" s="35"/>
      <c r="S16" s="1">
        <f t="shared" si="0"/>
        <v>0</v>
      </c>
      <c r="T16" s="5"/>
      <c r="U16" s="1">
        <f t="shared" si="1"/>
        <v>0</v>
      </c>
      <c r="V16" s="5"/>
      <c r="W16" s="38">
        <f t="shared" si="2"/>
        <v>0</v>
      </c>
    </row>
    <row r="17" spans="9:23" x14ac:dyDescent="0.25">
      <c r="I17" s="54"/>
      <c r="J17" s="40"/>
      <c r="K17" s="55"/>
      <c r="L17" s="40"/>
      <c r="M17" s="75"/>
      <c r="N17" s="75"/>
      <c r="O17" s="82">
        <f t="shared" si="3"/>
        <v>0</v>
      </c>
      <c r="P17" s="75"/>
      <c r="Q17" s="35">
        <f t="shared" si="4"/>
        <v>0</v>
      </c>
      <c r="R17" s="35"/>
      <c r="S17" s="1">
        <f t="shared" si="0"/>
        <v>0</v>
      </c>
      <c r="T17" s="5"/>
      <c r="U17" s="1">
        <f t="shared" si="1"/>
        <v>0</v>
      </c>
      <c r="V17" s="5"/>
      <c r="W17" s="38">
        <f t="shared" si="2"/>
        <v>0</v>
      </c>
    </row>
    <row r="18" spans="9:23" x14ac:dyDescent="0.25">
      <c r="I18" s="54"/>
      <c r="J18" s="40"/>
      <c r="K18" s="55"/>
      <c r="L18" s="40"/>
      <c r="M18" s="75"/>
      <c r="N18" s="75"/>
      <c r="O18" s="82">
        <f t="shared" si="3"/>
        <v>0</v>
      </c>
      <c r="P18" s="75"/>
      <c r="Q18" s="35">
        <f t="shared" si="4"/>
        <v>0</v>
      </c>
      <c r="R18" s="35"/>
      <c r="S18" s="1">
        <f t="shared" si="0"/>
        <v>0</v>
      </c>
      <c r="T18" s="5"/>
      <c r="U18" s="1">
        <f t="shared" si="1"/>
        <v>0</v>
      </c>
      <c r="V18" s="5"/>
      <c r="W18" s="38">
        <f t="shared" si="2"/>
        <v>0</v>
      </c>
    </row>
    <row r="19" spans="9:23" x14ac:dyDescent="0.25">
      <c r="I19" s="54"/>
      <c r="J19" s="40"/>
      <c r="K19" s="55"/>
      <c r="L19" s="40"/>
      <c r="M19" s="75"/>
      <c r="N19" s="75"/>
      <c r="O19" s="82">
        <f t="shared" si="3"/>
        <v>0</v>
      </c>
      <c r="P19" s="75"/>
      <c r="Q19" s="35">
        <f t="shared" si="4"/>
        <v>0</v>
      </c>
      <c r="R19" s="35"/>
      <c r="S19" s="1">
        <f t="shared" si="0"/>
        <v>0</v>
      </c>
      <c r="T19" s="5"/>
      <c r="U19" s="1">
        <f t="shared" si="1"/>
        <v>0</v>
      </c>
      <c r="V19" s="5"/>
      <c r="W19" s="38">
        <f t="shared" si="2"/>
        <v>0</v>
      </c>
    </row>
    <row r="20" spans="9:23" x14ac:dyDescent="0.25">
      <c r="I20" s="54"/>
      <c r="J20" s="40"/>
      <c r="K20" s="55"/>
      <c r="L20" s="40"/>
      <c r="M20" s="75"/>
      <c r="N20" s="75"/>
      <c r="O20" s="82">
        <f t="shared" si="3"/>
        <v>0</v>
      </c>
      <c r="P20" s="75"/>
      <c r="Q20" s="35">
        <f t="shared" si="4"/>
        <v>0</v>
      </c>
      <c r="R20" s="35"/>
      <c r="S20" s="1">
        <f t="shared" si="0"/>
        <v>0</v>
      </c>
      <c r="T20" s="5"/>
      <c r="U20" s="1">
        <f t="shared" si="1"/>
        <v>0</v>
      </c>
      <c r="V20" s="5"/>
      <c r="W20" s="38">
        <f t="shared" si="2"/>
        <v>0</v>
      </c>
    </row>
    <row r="21" spans="9:23" x14ac:dyDescent="0.25">
      <c r="I21" s="54"/>
      <c r="J21" s="40"/>
      <c r="K21" s="55"/>
      <c r="L21" s="40"/>
      <c r="M21" s="75"/>
      <c r="N21" s="75"/>
      <c r="O21" s="82">
        <f t="shared" si="3"/>
        <v>0</v>
      </c>
      <c r="P21" s="75"/>
      <c r="Q21" s="35">
        <f t="shared" si="4"/>
        <v>0</v>
      </c>
      <c r="R21" s="35"/>
      <c r="S21" s="1">
        <f t="shared" si="0"/>
        <v>0</v>
      </c>
      <c r="T21" s="5"/>
      <c r="U21" s="1">
        <f t="shared" si="1"/>
        <v>0</v>
      </c>
      <c r="V21" s="5"/>
      <c r="W21" s="38">
        <f t="shared" si="2"/>
        <v>0</v>
      </c>
    </row>
    <row r="22" spans="9:23" x14ac:dyDescent="0.25">
      <c r="I22" s="54"/>
      <c r="J22" s="40"/>
      <c r="K22" s="55"/>
      <c r="L22" s="40"/>
      <c r="M22" s="75"/>
      <c r="N22" s="75"/>
      <c r="O22" s="82">
        <f t="shared" si="3"/>
        <v>0</v>
      </c>
      <c r="P22" s="75"/>
      <c r="Q22" s="35">
        <f t="shared" si="4"/>
        <v>0</v>
      </c>
      <c r="R22" s="35"/>
      <c r="S22" s="1">
        <f t="shared" si="0"/>
        <v>0</v>
      </c>
      <c r="T22" s="5"/>
      <c r="U22" s="1">
        <f t="shared" si="1"/>
        <v>0</v>
      </c>
      <c r="V22" s="5"/>
      <c r="W22" s="38">
        <f t="shared" si="2"/>
        <v>0</v>
      </c>
    </row>
    <row r="23" spans="9:23" x14ac:dyDescent="0.25">
      <c r="I23" s="54"/>
      <c r="J23" s="40"/>
      <c r="K23" s="55"/>
      <c r="L23" s="40"/>
      <c r="M23" s="75"/>
      <c r="N23" s="75"/>
      <c r="O23" s="82">
        <f t="shared" si="3"/>
        <v>0</v>
      </c>
      <c r="P23" s="75"/>
      <c r="Q23" s="35">
        <f t="shared" si="4"/>
        <v>0</v>
      </c>
      <c r="R23" s="35"/>
      <c r="S23" s="1">
        <f t="shared" si="0"/>
        <v>0</v>
      </c>
      <c r="T23" s="5"/>
      <c r="U23" s="1">
        <f t="shared" si="1"/>
        <v>0</v>
      </c>
      <c r="V23" s="5"/>
      <c r="W23" s="38">
        <f t="shared" si="2"/>
        <v>0</v>
      </c>
    </row>
    <row r="24" spans="9:23" x14ac:dyDescent="0.25">
      <c r="I24" s="54"/>
      <c r="J24" s="40"/>
      <c r="K24" s="55"/>
      <c r="L24" s="40"/>
      <c r="M24" s="75"/>
      <c r="N24" s="75"/>
      <c r="O24" s="82">
        <f t="shared" si="3"/>
        <v>0</v>
      </c>
      <c r="P24" s="75"/>
      <c r="Q24" s="35">
        <f t="shared" si="4"/>
        <v>0</v>
      </c>
      <c r="R24" s="35"/>
      <c r="S24" s="1">
        <f t="shared" si="0"/>
        <v>0</v>
      </c>
      <c r="T24" s="5"/>
      <c r="U24" s="1">
        <f t="shared" si="1"/>
        <v>0</v>
      </c>
      <c r="V24" s="5"/>
      <c r="W24" s="38">
        <f t="shared" si="2"/>
        <v>0</v>
      </c>
    </row>
    <row r="25" spans="9:23" x14ac:dyDescent="0.25">
      <c r="I25" s="54"/>
      <c r="J25" s="40"/>
      <c r="K25" s="55"/>
      <c r="L25" s="40"/>
      <c r="M25" s="75"/>
      <c r="N25" s="75"/>
      <c r="O25" s="82">
        <f t="shared" si="3"/>
        <v>0</v>
      </c>
      <c r="P25" s="75"/>
      <c r="Q25" s="35">
        <f t="shared" si="4"/>
        <v>0</v>
      </c>
      <c r="R25" s="35"/>
      <c r="S25" s="1">
        <f t="shared" si="0"/>
        <v>0</v>
      </c>
      <c r="T25" s="5"/>
      <c r="U25" s="1">
        <f t="shared" si="1"/>
        <v>0</v>
      </c>
      <c r="V25" s="5"/>
      <c r="W25" s="38">
        <f t="shared" si="2"/>
        <v>0</v>
      </c>
    </row>
    <row r="26" spans="9:23" x14ac:dyDescent="0.25">
      <c r="I26" s="54"/>
      <c r="J26" s="40"/>
      <c r="K26" s="55"/>
      <c r="L26" s="40"/>
      <c r="M26" s="75"/>
      <c r="N26" s="75"/>
      <c r="O26" s="82">
        <f t="shared" si="3"/>
        <v>0</v>
      </c>
      <c r="P26" s="75"/>
      <c r="Q26" s="35">
        <f t="shared" si="4"/>
        <v>0</v>
      </c>
      <c r="R26" s="35"/>
      <c r="S26" s="1">
        <f t="shared" si="0"/>
        <v>0</v>
      </c>
      <c r="T26" s="5"/>
      <c r="U26" s="1">
        <f t="shared" si="1"/>
        <v>0</v>
      </c>
      <c r="V26" s="5"/>
      <c r="W26" s="38">
        <f t="shared" si="2"/>
        <v>0</v>
      </c>
    </row>
    <row r="27" spans="9:23" x14ac:dyDescent="0.25">
      <c r="I27" s="54"/>
      <c r="J27" s="40"/>
      <c r="K27" s="55"/>
      <c r="L27" s="40"/>
      <c r="M27" s="75"/>
      <c r="N27" s="75"/>
      <c r="O27" s="82">
        <f t="shared" si="3"/>
        <v>0</v>
      </c>
      <c r="P27" s="75"/>
      <c r="Q27" s="35">
        <f t="shared" si="4"/>
        <v>0</v>
      </c>
      <c r="R27" s="35"/>
      <c r="S27" s="1">
        <f t="shared" si="0"/>
        <v>0</v>
      </c>
      <c r="T27" s="5"/>
      <c r="U27" s="1">
        <f t="shared" si="1"/>
        <v>0</v>
      </c>
      <c r="V27" s="5"/>
      <c r="W27" s="38">
        <f t="shared" si="2"/>
        <v>0</v>
      </c>
    </row>
    <row r="28" spans="9:23" x14ac:dyDescent="0.25">
      <c r="I28" s="54"/>
      <c r="J28" s="40"/>
      <c r="K28" s="55"/>
      <c r="L28" s="40"/>
      <c r="M28" s="75"/>
      <c r="N28" s="75"/>
      <c r="O28" s="82">
        <f t="shared" si="3"/>
        <v>0</v>
      </c>
      <c r="P28" s="75"/>
      <c r="Q28" s="35">
        <f t="shared" si="4"/>
        <v>0</v>
      </c>
      <c r="R28" s="35"/>
      <c r="S28" s="1">
        <f t="shared" si="0"/>
        <v>0</v>
      </c>
      <c r="T28" s="5"/>
      <c r="U28" s="1">
        <f t="shared" si="1"/>
        <v>0</v>
      </c>
      <c r="V28" s="5"/>
      <c r="W28" s="38">
        <f t="shared" si="2"/>
        <v>0</v>
      </c>
    </row>
    <row r="29" spans="9:23" x14ac:dyDescent="0.25">
      <c r="I29" s="54"/>
      <c r="J29" s="40"/>
      <c r="K29" s="55"/>
      <c r="L29" s="40"/>
      <c r="M29" s="75"/>
      <c r="N29" s="75"/>
      <c r="O29" s="82">
        <f t="shared" si="3"/>
        <v>0</v>
      </c>
      <c r="P29" s="75"/>
      <c r="Q29" s="35">
        <f t="shared" si="4"/>
        <v>0</v>
      </c>
      <c r="R29" s="35"/>
      <c r="S29" s="1">
        <f t="shared" si="0"/>
        <v>0</v>
      </c>
      <c r="T29" s="5"/>
      <c r="U29" s="1">
        <f t="shared" si="1"/>
        <v>0</v>
      </c>
      <c r="V29" s="5"/>
      <c r="W29" s="38">
        <f t="shared" si="2"/>
        <v>0</v>
      </c>
    </row>
    <row r="30" spans="9:23" x14ac:dyDescent="0.25">
      <c r="I30" s="54"/>
      <c r="J30" s="40"/>
      <c r="K30" s="55"/>
      <c r="L30" s="74"/>
      <c r="M30" s="75"/>
      <c r="N30" s="75"/>
      <c r="O30" s="75"/>
      <c r="P30" s="75"/>
      <c r="Q30" s="35">
        <f t="shared" si="4"/>
        <v>0</v>
      </c>
      <c r="R30" s="35"/>
      <c r="S30" s="1">
        <f t="shared" si="0"/>
        <v>0</v>
      </c>
      <c r="T30" s="5"/>
      <c r="U30" s="1">
        <f t="shared" si="1"/>
        <v>0</v>
      </c>
      <c r="V30" s="5"/>
      <c r="W30" s="38">
        <f t="shared" si="2"/>
        <v>0</v>
      </c>
    </row>
    <row r="31" spans="9:23" x14ac:dyDescent="0.25">
      <c r="I31" s="54"/>
      <c r="J31" s="40"/>
      <c r="K31" s="55"/>
      <c r="L31" s="74"/>
      <c r="M31" s="75"/>
      <c r="N31" s="75"/>
      <c r="O31" s="83"/>
      <c r="P31" s="75"/>
      <c r="Q31" s="35">
        <f t="shared" ref="Q31:Q33" si="5">((K31+L31)*2)*J31</f>
        <v>0</v>
      </c>
      <c r="R31" s="35"/>
      <c r="S31" s="1">
        <f t="shared" si="0"/>
        <v>0</v>
      </c>
      <c r="T31" s="5"/>
      <c r="U31" s="1">
        <f t="shared" si="1"/>
        <v>0</v>
      </c>
      <c r="V31" s="5"/>
      <c r="W31" s="38">
        <f t="shared" si="2"/>
        <v>0</v>
      </c>
    </row>
    <row r="32" spans="9:23" x14ac:dyDescent="0.25">
      <c r="I32" s="54"/>
      <c r="J32" s="40"/>
      <c r="K32" s="55"/>
      <c r="L32" s="74"/>
      <c r="M32" s="75"/>
      <c r="N32" s="75"/>
      <c r="O32" s="75">
        <f>SUM(O3:O31)</f>
        <v>0</v>
      </c>
      <c r="P32" s="75"/>
      <c r="Q32" s="35">
        <f t="shared" si="5"/>
        <v>0</v>
      </c>
      <c r="R32" s="35"/>
      <c r="S32" s="1">
        <f t="shared" si="0"/>
        <v>0</v>
      </c>
      <c r="T32" s="5"/>
      <c r="U32" s="1">
        <f t="shared" si="1"/>
        <v>0</v>
      </c>
      <c r="V32" s="5"/>
      <c r="W32" s="38">
        <f t="shared" si="2"/>
        <v>0</v>
      </c>
    </row>
    <row r="33" spans="1:29" x14ac:dyDescent="0.25">
      <c r="I33" s="54"/>
      <c r="J33" s="40"/>
      <c r="K33" s="55"/>
      <c r="L33" s="74"/>
      <c r="M33" s="75"/>
      <c r="N33" s="75"/>
      <c r="O33" s="75"/>
      <c r="P33" s="75"/>
      <c r="Q33" s="35">
        <f t="shared" si="5"/>
        <v>0</v>
      </c>
      <c r="R33" s="35"/>
      <c r="S33" s="1">
        <f t="shared" si="0"/>
        <v>0</v>
      </c>
      <c r="T33" s="5"/>
      <c r="U33" s="1">
        <f t="shared" si="1"/>
        <v>0</v>
      </c>
      <c r="V33" s="5"/>
      <c r="W33" s="38">
        <f t="shared" si="2"/>
        <v>0</v>
      </c>
    </row>
    <row r="34" spans="1:29" ht="15.75" thickBot="1" x14ac:dyDescent="0.3">
      <c r="I34" s="31"/>
      <c r="J34" s="1"/>
      <c r="K34" s="1"/>
      <c r="L34" s="69"/>
      <c r="M34" s="69"/>
      <c r="N34" s="69"/>
      <c r="O34" s="69"/>
      <c r="P34" s="69"/>
      <c r="Q34" s="35">
        <f>((K34+L34)*2)*J34</f>
        <v>0</v>
      </c>
      <c r="R34" s="35"/>
      <c r="S34" s="1">
        <f t="shared" ref="S34" si="6">(L34*2)+K34</f>
        <v>0</v>
      </c>
      <c r="T34" s="5"/>
      <c r="U34" s="1">
        <f t="shared" si="1"/>
        <v>0</v>
      </c>
      <c r="V34" s="5"/>
      <c r="W34" s="38">
        <f t="shared" si="2"/>
        <v>0</v>
      </c>
    </row>
    <row r="35" spans="1:29" ht="15.75" thickBot="1" x14ac:dyDescent="0.3">
      <c r="A35" s="2" t="s">
        <v>6</v>
      </c>
      <c r="I35" s="32"/>
      <c r="J35" s="1"/>
      <c r="K35" s="1"/>
      <c r="L35" s="69"/>
      <c r="M35" s="76"/>
      <c r="Q35" s="25">
        <f>SUM(Q3:Q30)</f>
        <v>0</v>
      </c>
      <c r="R35" s="25"/>
      <c r="S35" s="25">
        <f>SUM(S4:S34)</f>
        <v>0</v>
      </c>
      <c r="T35" s="41"/>
      <c r="U35" s="26">
        <f>SUM(U4:U24)</f>
        <v>0</v>
      </c>
      <c r="V35" s="27"/>
      <c r="W35" s="28">
        <f>SUM(W4:W24)</f>
        <v>0</v>
      </c>
    </row>
    <row r="36" spans="1:29" x14ac:dyDescent="0.25">
      <c r="A36" s="3" t="s">
        <v>39</v>
      </c>
      <c r="B36" s="4"/>
      <c r="C36" s="4"/>
      <c r="D36" s="4"/>
    </row>
    <row r="37" spans="1:29" x14ac:dyDescent="0.25">
      <c r="A37" s="4" t="s">
        <v>8</v>
      </c>
      <c r="B37" s="6">
        <v>56</v>
      </c>
      <c r="C37" s="6"/>
      <c r="D37" s="4"/>
    </row>
    <row r="38" spans="1:29" x14ac:dyDescent="0.25">
      <c r="A38" s="4" t="s">
        <v>85</v>
      </c>
      <c r="B38" s="6">
        <v>0</v>
      </c>
      <c r="C38" s="84"/>
      <c r="D38" s="85"/>
    </row>
    <row r="39" spans="1:29" x14ac:dyDescent="0.25">
      <c r="A39" s="4" t="s">
        <v>74</v>
      </c>
      <c r="B39" s="6">
        <v>35</v>
      </c>
      <c r="C39" s="84">
        <f>B39*Q35</f>
        <v>0</v>
      </c>
      <c r="D39" s="85"/>
      <c r="M39" s="69"/>
      <c r="N39" s="69"/>
      <c r="O39" s="69"/>
      <c r="P39" s="69"/>
      <c r="Q39" s="4" t="s">
        <v>80</v>
      </c>
    </row>
    <row r="40" spans="1:29" x14ac:dyDescent="0.25">
      <c r="A40" s="4" t="s">
        <v>36</v>
      </c>
      <c r="B40" s="6">
        <v>0</v>
      </c>
      <c r="C40" s="84">
        <f>B40*Q35</f>
        <v>0</v>
      </c>
      <c r="D40" s="85"/>
      <c r="M40" s="67" t="s">
        <v>84</v>
      </c>
      <c r="N40" s="67"/>
      <c r="O40" s="67"/>
      <c r="P40" s="67"/>
      <c r="Q40" s="39">
        <v>21</v>
      </c>
      <c r="R40" s="37"/>
    </row>
    <row r="41" spans="1:29" x14ac:dyDescent="0.25">
      <c r="A41" s="4" t="s">
        <v>32</v>
      </c>
      <c r="B41" s="6">
        <v>0</v>
      </c>
      <c r="C41" s="84">
        <f>B41*W35</f>
        <v>0</v>
      </c>
      <c r="D41" s="85"/>
      <c r="M41" s="67" t="s">
        <v>81</v>
      </c>
      <c r="N41" s="67"/>
      <c r="O41" s="67"/>
      <c r="P41" s="67"/>
      <c r="Q41" s="39">
        <v>45</v>
      </c>
      <c r="R41" s="37"/>
    </row>
    <row r="42" spans="1:29" x14ac:dyDescent="0.25">
      <c r="A42" s="4" t="s">
        <v>33</v>
      </c>
      <c r="B42" s="14">
        <v>65</v>
      </c>
      <c r="C42" s="84">
        <f>B42*M104</f>
        <v>0</v>
      </c>
      <c r="D42" s="85"/>
      <c r="J42" s="66"/>
      <c r="M42" s="67" t="s">
        <v>107</v>
      </c>
      <c r="N42" s="67"/>
      <c r="O42" s="67"/>
      <c r="P42" s="67"/>
      <c r="Q42" s="39">
        <v>81</v>
      </c>
      <c r="R42" s="37"/>
    </row>
    <row r="43" spans="1:29" x14ac:dyDescent="0.25">
      <c r="A43" s="4" t="s">
        <v>34</v>
      </c>
      <c r="B43" s="6">
        <v>15</v>
      </c>
      <c r="C43" s="84">
        <f>B43*W35</f>
        <v>0</v>
      </c>
      <c r="D43" s="85"/>
      <c r="K43" s="66"/>
      <c r="M43" s="67" t="s">
        <v>102</v>
      </c>
      <c r="N43" s="67" t="s">
        <v>105</v>
      </c>
      <c r="O43" s="67"/>
      <c r="P43" s="67"/>
      <c r="Q43" s="39">
        <v>18</v>
      </c>
    </row>
    <row r="44" spans="1:29" x14ac:dyDescent="0.25">
      <c r="A44" s="4" t="s">
        <v>35</v>
      </c>
      <c r="B44" s="6">
        <v>60</v>
      </c>
      <c r="C44" s="86">
        <f>((D63*2*(+(E63*2)))/1000000)*B44</f>
        <v>0</v>
      </c>
      <c r="D44" s="87"/>
      <c r="G44" s="7"/>
      <c r="J44" s="66"/>
    </row>
    <row r="45" spans="1:29" x14ac:dyDescent="0.25">
      <c r="A45" s="4" t="s">
        <v>59</v>
      </c>
      <c r="B45" s="14">
        <v>36</v>
      </c>
      <c r="C45" s="1"/>
      <c r="D45" s="1"/>
      <c r="J45" s="66"/>
    </row>
    <row r="46" spans="1:29" x14ac:dyDescent="0.25">
      <c r="K46" s="29" t="s">
        <v>95</v>
      </c>
      <c r="L46" s="65" t="s">
        <v>99</v>
      </c>
      <c r="P46" s="66" t="s">
        <v>108</v>
      </c>
    </row>
    <row r="47" spans="1:29" x14ac:dyDescent="0.25">
      <c r="K47" s="29" t="s">
        <v>96</v>
      </c>
      <c r="L47" s="66" t="s">
        <v>106</v>
      </c>
      <c r="N47" s="66" t="s">
        <v>101</v>
      </c>
      <c r="O47" s="66" t="s">
        <v>109</v>
      </c>
      <c r="AA47" s="4" t="s">
        <v>9</v>
      </c>
      <c r="AB47" s="4"/>
      <c r="AC47" s="29"/>
    </row>
    <row r="48" spans="1:29" x14ac:dyDescent="0.25">
      <c r="C48">
        <f>SUM(C51:C71)</f>
        <v>0</v>
      </c>
      <c r="E48" s="4"/>
      <c r="F48" s="4"/>
      <c r="G48" s="4"/>
      <c r="H48" s="4"/>
      <c r="I48" s="4"/>
      <c r="J48" s="4"/>
      <c r="K48" s="4"/>
      <c r="L48" s="4" t="s">
        <v>56</v>
      </c>
      <c r="M48" s="67" t="s">
        <v>113</v>
      </c>
      <c r="N48" s="67" t="s">
        <v>100</v>
      </c>
      <c r="O48" s="67" t="s">
        <v>103</v>
      </c>
      <c r="P48" s="67" t="s">
        <v>104</v>
      </c>
      <c r="Q48" s="4" t="s">
        <v>93</v>
      </c>
      <c r="R48" s="4" t="s">
        <v>110</v>
      </c>
      <c r="S48" s="4"/>
      <c r="T48" s="4"/>
      <c r="U48" s="4">
        <v>17</v>
      </c>
      <c r="V48" s="4">
        <v>7</v>
      </c>
      <c r="W48" s="4">
        <v>3</v>
      </c>
      <c r="X48" s="4">
        <v>3</v>
      </c>
      <c r="Y48" s="10"/>
      <c r="Z48" s="10"/>
      <c r="AA48" s="11">
        <v>5</v>
      </c>
      <c r="AB48" s="4">
        <v>15</v>
      </c>
      <c r="AC48" s="29"/>
    </row>
    <row r="49" spans="1:30" x14ac:dyDescent="0.25">
      <c r="A49" s="4" t="s">
        <v>10</v>
      </c>
      <c r="B49" s="8" t="s">
        <v>11</v>
      </c>
      <c r="C49" s="8" t="s">
        <v>0</v>
      </c>
      <c r="D49" s="8" t="s">
        <v>12</v>
      </c>
      <c r="E49" s="8" t="s">
        <v>2</v>
      </c>
      <c r="F49" s="8" t="s">
        <v>13</v>
      </c>
      <c r="G49" s="8" t="s">
        <v>14</v>
      </c>
      <c r="H49" s="8" t="s">
        <v>15</v>
      </c>
      <c r="I49" s="8" t="s">
        <v>58</v>
      </c>
      <c r="J49" s="8" t="s">
        <v>16</v>
      </c>
      <c r="K49" s="8" t="s">
        <v>57</v>
      </c>
      <c r="L49" s="68" t="s">
        <v>51</v>
      </c>
      <c r="M49" s="68" t="s">
        <v>79</v>
      </c>
      <c r="N49" s="68"/>
      <c r="O49" s="68"/>
      <c r="P49" s="68"/>
      <c r="Q49" s="8" t="s">
        <v>52</v>
      </c>
      <c r="R49" s="8" t="s">
        <v>59</v>
      </c>
      <c r="S49" s="4" t="s">
        <v>18</v>
      </c>
      <c r="T49" s="4" t="s">
        <v>86</v>
      </c>
      <c r="U49" s="4" t="s">
        <v>19</v>
      </c>
      <c r="V49" s="4" t="s">
        <v>20</v>
      </c>
      <c r="W49" s="4" t="s">
        <v>21</v>
      </c>
      <c r="X49" s="4" t="s">
        <v>22</v>
      </c>
      <c r="Y49" s="10" t="s">
        <v>31</v>
      </c>
      <c r="Z49" s="10" t="s">
        <v>97</v>
      </c>
      <c r="AA49" s="11" t="s">
        <v>23</v>
      </c>
      <c r="AB49" s="4" t="s">
        <v>24</v>
      </c>
      <c r="AC49" s="4"/>
      <c r="AD49" s="4" t="s">
        <v>25</v>
      </c>
    </row>
    <row r="50" spans="1:30" x14ac:dyDescent="0.25">
      <c r="A50" s="8"/>
      <c r="B50" s="1"/>
      <c r="C50" s="1"/>
      <c r="D50" s="1"/>
      <c r="E50" s="1"/>
      <c r="F50" s="1"/>
      <c r="G50" s="1"/>
      <c r="H50" s="1"/>
      <c r="I50" s="1"/>
      <c r="J50" s="1">
        <v>0</v>
      </c>
      <c r="K50" s="1"/>
      <c r="L50" s="69" t="s">
        <v>115</v>
      </c>
      <c r="M50" s="69" t="s">
        <v>114</v>
      </c>
      <c r="N50" s="69"/>
      <c r="O50" s="69"/>
      <c r="P50" s="69" t="s">
        <v>112</v>
      </c>
      <c r="Q50" s="4"/>
      <c r="R50" s="8"/>
      <c r="S50" s="8"/>
      <c r="T50" s="8"/>
      <c r="U50" s="8">
        <f>(100-U48)/100</f>
        <v>0.83</v>
      </c>
      <c r="V50" s="8">
        <f>(100-V48)/100</f>
        <v>0.93</v>
      </c>
      <c r="W50" s="8">
        <f>(100-W48)/100</f>
        <v>0.97</v>
      </c>
      <c r="X50" s="8">
        <f>(100-X48)/100</f>
        <v>0.97</v>
      </c>
      <c r="Y50" s="12"/>
      <c r="Z50" s="12"/>
      <c r="AA50" s="13">
        <f>(100+AA48)/100</f>
        <v>1.05</v>
      </c>
      <c r="AB50" s="8">
        <f>(100+AB48)/100</f>
        <v>1.1499999999999999</v>
      </c>
      <c r="AC50" s="29"/>
    </row>
    <row r="51" spans="1:30" x14ac:dyDescent="0.25">
      <c r="A51" s="56">
        <f t="shared" ref="A51:A66" si="7">I4</f>
        <v>0</v>
      </c>
      <c r="B51" s="33">
        <f t="shared" ref="B51:B66" si="8">M4</f>
        <v>0</v>
      </c>
      <c r="C51" s="15">
        <f t="shared" ref="C51:C66" si="9">J4</f>
        <v>0</v>
      </c>
      <c r="D51" s="15">
        <f t="shared" ref="D51:D66" si="10">K4*1000</f>
        <v>0</v>
      </c>
      <c r="E51" s="15">
        <f t="shared" ref="E51:E66" si="11">L4*1000</f>
        <v>0</v>
      </c>
      <c r="F51" s="21"/>
      <c r="G51" s="21">
        <v>0</v>
      </c>
      <c r="H51" s="22"/>
      <c r="I51" s="16">
        <f t="shared" ref="I51:I65" si="12">H51*$B$37</f>
        <v>0</v>
      </c>
      <c r="J51" s="21">
        <v>0</v>
      </c>
      <c r="K51" s="70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21">
        <v>0</v>
      </c>
      <c r="R51" s="21">
        <v>0</v>
      </c>
      <c r="S51" s="17">
        <f>SUM(I51:R51)+K55</f>
        <v>0</v>
      </c>
      <c r="T51" s="17">
        <f>S51*C51</f>
        <v>0</v>
      </c>
      <c r="U51" s="18"/>
      <c r="V51" s="18"/>
      <c r="W51" s="18"/>
      <c r="X51" s="19"/>
      <c r="Y51" s="20">
        <f t="shared" ref="Y51:Y81" si="13">((((S51*$U$50)*$V$50)*$W$50)*$X$50)</f>
        <v>0</v>
      </c>
      <c r="Z51" s="20">
        <f>Y51*C51</f>
        <v>0</v>
      </c>
      <c r="AA51" s="11"/>
      <c r="AB51" s="4"/>
      <c r="AC51" s="9">
        <f t="shared" ref="AC51:AC78" si="14">((Z51*$AA$50)*$AB$50)</f>
        <v>0</v>
      </c>
      <c r="AD51" s="9" t="e">
        <f>((#REF!*$AA$50)*$AB$50)</f>
        <v>#REF!</v>
      </c>
    </row>
    <row r="52" spans="1:30" x14ac:dyDescent="0.25">
      <c r="A52" s="56">
        <f t="shared" si="7"/>
        <v>0</v>
      </c>
      <c r="B52" s="33">
        <f t="shared" si="8"/>
        <v>0</v>
      </c>
      <c r="C52" s="15">
        <f t="shared" si="9"/>
        <v>0</v>
      </c>
      <c r="D52" s="15">
        <f t="shared" si="10"/>
        <v>0</v>
      </c>
      <c r="E52" s="15">
        <f t="shared" si="11"/>
        <v>0</v>
      </c>
      <c r="F52" s="21"/>
      <c r="G52" s="21">
        <v>0</v>
      </c>
      <c r="H52" s="22"/>
      <c r="I52" s="16">
        <f t="shared" si="12"/>
        <v>0</v>
      </c>
      <c r="J52" s="21">
        <v>0</v>
      </c>
      <c r="K52" s="70">
        <v>0</v>
      </c>
      <c r="L52" s="70">
        <v>0</v>
      </c>
      <c r="M52" s="70">
        <v>0</v>
      </c>
      <c r="N52" s="70">
        <v>0</v>
      </c>
      <c r="O52" s="70">
        <v>0</v>
      </c>
      <c r="P52" s="70">
        <v>0</v>
      </c>
      <c r="Q52" s="21">
        <v>0</v>
      </c>
      <c r="R52" s="21">
        <v>0</v>
      </c>
      <c r="S52" s="17">
        <f t="shared" ref="S52:S79" si="15">SUM(I52:R52)+G52</f>
        <v>0</v>
      </c>
      <c r="T52" s="17">
        <f t="shared" ref="T52:T76" si="16">S52*C52</f>
        <v>0</v>
      </c>
      <c r="U52" s="18"/>
      <c r="V52" s="18"/>
      <c r="W52" s="18"/>
      <c r="X52" s="19"/>
      <c r="Y52" s="20">
        <f t="shared" si="13"/>
        <v>0</v>
      </c>
      <c r="Z52" s="20">
        <f t="shared" ref="Z52:Z82" si="17">Y52*C52</f>
        <v>0</v>
      </c>
      <c r="AA52" s="11"/>
      <c r="AB52" s="4"/>
      <c r="AC52" s="9">
        <f t="shared" si="14"/>
        <v>0</v>
      </c>
      <c r="AD52" s="9" t="e">
        <f>((#REF!*$AA$50)*$AB$50)</f>
        <v>#REF!</v>
      </c>
    </row>
    <row r="53" spans="1:30" x14ac:dyDescent="0.25">
      <c r="A53" s="56">
        <f t="shared" si="7"/>
        <v>0</v>
      </c>
      <c r="B53" s="33">
        <f t="shared" si="8"/>
        <v>0</v>
      </c>
      <c r="C53" s="15">
        <f t="shared" si="9"/>
        <v>0</v>
      </c>
      <c r="D53" s="15">
        <f t="shared" si="10"/>
        <v>0</v>
      </c>
      <c r="E53" s="15">
        <f t="shared" si="11"/>
        <v>0</v>
      </c>
      <c r="F53" s="21"/>
      <c r="G53" s="21">
        <v>0</v>
      </c>
      <c r="H53" s="22"/>
      <c r="I53" s="16">
        <f t="shared" si="12"/>
        <v>0</v>
      </c>
      <c r="J53" s="21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21">
        <v>0</v>
      </c>
      <c r="R53" s="21">
        <v>0</v>
      </c>
      <c r="S53" s="17">
        <f t="shared" si="15"/>
        <v>0</v>
      </c>
      <c r="T53" s="17">
        <f t="shared" si="16"/>
        <v>0</v>
      </c>
      <c r="U53" s="18"/>
      <c r="V53" s="18"/>
      <c r="W53" s="18"/>
      <c r="X53" s="19"/>
      <c r="Y53" s="20">
        <f t="shared" si="13"/>
        <v>0</v>
      </c>
      <c r="Z53" s="20">
        <f t="shared" si="17"/>
        <v>0</v>
      </c>
      <c r="AA53" s="11"/>
      <c r="AB53" s="4"/>
      <c r="AC53" s="9">
        <f t="shared" si="14"/>
        <v>0</v>
      </c>
      <c r="AD53" s="9" t="e">
        <f>((#REF!*$AA$50)*$AB$50)</f>
        <v>#REF!</v>
      </c>
    </row>
    <row r="54" spans="1:30" x14ac:dyDescent="0.25">
      <c r="A54" s="56">
        <f t="shared" si="7"/>
        <v>0</v>
      </c>
      <c r="B54" s="33">
        <f t="shared" si="8"/>
        <v>0</v>
      </c>
      <c r="C54" s="15">
        <f t="shared" si="9"/>
        <v>0</v>
      </c>
      <c r="D54" s="15">
        <f t="shared" si="10"/>
        <v>0</v>
      </c>
      <c r="E54" s="15">
        <f t="shared" si="11"/>
        <v>0</v>
      </c>
      <c r="F54" s="21"/>
      <c r="G54" s="21">
        <v>0</v>
      </c>
      <c r="H54" s="22"/>
      <c r="I54" s="16">
        <f t="shared" si="12"/>
        <v>0</v>
      </c>
      <c r="J54" s="21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21">
        <v>0</v>
      </c>
      <c r="R54" s="21">
        <v>0</v>
      </c>
      <c r="S54" s="17">
        <f>SUM(I54:R54)+I66</f>
        <v>0</v>
      </c>
      <c r="T54" s="17">
        <f t="shared" si="16"/>
        <v>0</v>
      </c>
      <c r="U54" s="18"/>
      <c r="V54" s="18"/>
      <c r="W54" s="18"/>
      <c r="X54" s="19"/>
      <c r="Y54" s="20">
        <f t="shared" si="13"/>
        <v>0</v>
      </c>
      <c r="Z54" s="20">
        <f t="shared" si="17"/>
        <v>0</v>
      </c>
      <c r="AA54" s="11"/>
      <c r="AB54" s="4"/>
      <c r="AC54" s="9">
        <f t="shared" si="14"/>
        <v>0</v>
      </c>
      <c r="AD54" s="9" t="e">
        <f>((#REF!*$AA$50)*$AB$50)</f>
        <v>#REF!</v>
      </c>
    </row>
    <row r="55" spans="1:30" ht="15.75" customHeight="1" x14ac:dyDescent="0.25">
      <c r="A55" s="56">
        <f t="shared" si="7"/>
        <v>0</v>
      </c>
      <c r="B55" s="33">
        <f t="shared" si="8"/>
        <v>0</v>
      </c>
      <c r="C55" s="15">
        <f t="shared" si="9"/>
        <v>0</v>
      </c>
      <c r="D55" s="15">
        <f t="shared" si="10"/>
        <v>0</v>
      </c>
      <c r="E55" s="15">
        <f t="shared" si="11"/>
        <v>0</v>
      </c>
      <c r="F55" s="21"/>
      <c r="G55" s="21">
        <v>0</v>
      </c>
      <c r="H55" s="22"/>
      <c r="I55" s="16">
        <f t="shared" si="12"/>
        <v>0</v>
      </c>
      <c r="J55" s="21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21">
        <v>0</v>
      </c>
      <c r="R55" s="21">
        <v>0</v>
      </c>
      <c r="S55" s="17">
        <f t="shared" si="15"/>
        <v>0</v>
      </c>
      <c r="T55" s="17">
        <f t="shared" si="16"/>
        <v>0</v>
      </c>
      <c r="U55" s="18"/>
      <c r="V55" s="18"/>
      <c r="W55" s="18"/>
      <c r="X55" s="19"/>
      <c r="Y55" s="20">
        <f t="shared" si="13"/>
        <v>0</v>
      </c>
      <c r="Z55" s="20">
        <f t="shared" si="17"/>
        <v>0</v>
      </c>
      <c r="AA55" s="11"/>
      <c r="AB55" s="4"/>
      <c r="AC55" s="9">
        <f t="shared" si="14"/>
        <v>0</v>
      </c>
      <c r="AD55" s="9" t="e">
        <f>((#REF!*$AA$50)*$AB$50)</f>
        <v>#REF!</v>
      </c>
    </row>
    <row r="56" spans="1:30" x14ac:dyDescent="0.25">
      <c r="A56" s="56">
        <f t="shared" si="7"/>
        <v>0</v>
      </c>
      <c r="B56" s="33">
        <f t="shared" si="8"/>
        <v>0</v>
      </c>
      <c r="C56" s="15">
        <f t="shared" si="9"/>
        <v>0</v>
      </c>
      <c r="D56" s="15">
        <f t="shared" si="10"/>
        <v>0</v>
      </c>
      <c r="E56" s="15">
        <f t="shared" si="11"/>
        <v>0</v>
      </c>
      <c r="F56" s="21"/>
      <c r="G56" s="21">
        <v>0</v>
      </c>
      <c r="H56" s="22"/>
      <c r="I56" s="16">
        <f t="shared" si="12"/>
        <v>0</v>
      </c>
      <c r="J56" s="21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21">
        <v>0</v>
      </c>
      <c r="R56" s="21">
        <v>0</v>
      </c>
      <c r="S56" s="17">
        <f t="shared" si="15"/>
        <v>0</v>
      </c>
      <c r="T56" s="17">
        <f t="shared" si="16"/>
        <v>0</v>
      </c>
      <c r="U56" s="18"/>
      <c r="V56" s="18"/>
      <c r="W56" s="18"/>
      <c r="X56" s="19"/>
      <c r="Y56" s="20">
        <f t="shared" si="13"/>
        <v>0</v>
      </c>
      <c r="Z56" s="20">
        <f t="shared" si="17"/>
        <v>0</v>
      </c>
      <c r="AA56" s="11"/>
      <c r="AB56" s="4"/>
      <c r="AC56" s="9">
        <f t="shared" si="14"/>
        <v>0</v>
      </c>
      <c r="AD56" s="9" t="e">
        <f>((#REF!*$AA$50)*$AB$50)</f>
        <v>#REF!</v>
      </c>
    </row>
    <row r="57" spans="1:30" x14ac:dyDescent="0.25">
      <c r="A57" s="56">
        <f t="shared" si="7"/>
        <v>0</v>
      </c>
      <c r="B57" s="33">
        <f t="shared" si="8"/>
        <v>0</v>
      </c>
      <c r="C57" s="15">
        <f t="shared" si="9"/>
        <v>0</v>
      </c>
      <c r="D57" s="15">
        <f t="shared" si="10"/>
        <v>0</v>
      </c>
      <c r="E57" s="15">
        <f t="shared" si="11"/>
        <v>0</v>
      </c>
      <c r="F57" s="21"/>
      <c r="G57" s="21">
        <v>0</v>
      </c>
      <c r="H57" s="22"/>
      <c r="I57" s="16">
        <f t="shared" si="12"/>
        <v>0</v>
      </c>
      <c r="J57" s="21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21">
        <v>0</v>
      </c>
      <c r="R57" s="21">
        <v>0</v>
      </c>
      <c r="S57" s="17">
        <f t="shared" si="15"/>
        <v>0</v>
      </c>
      <c r="T57" s="17">
        <f t="shared" si="16"/>
        <v>0</v>
      </c>
      <c r="U57" s="18"/>
      <c r="V57" s="18"/>
      <c r="W57" s="18"/>
      <c r="X57" s="19"/>
      <c r="Y57" s="20">
        <f t="shared" si="13"/>
        <v>0</v>
      </c>
      <c r="Z57" s="20">
        <f t="shared" si="17"/>
        <v>0</v>
      </c>
      <c r="AA57" s="11"/>
      <c r="AB57" s="4"/>
      <c r="AC57" s="9">
        <f t="shared" si="14"/>
        <v>0</v>
      </c>
      <c r="AD57" s="9" t="e">
        <f>((#REF!*$AA$50)*$AB$50)</f>
        <v>#REF!</v>
      </c>
    </row>
    <row r="58" spans="1:30" x14ac:dyDescent="0.25">
      <c r="A58" s="56">
        <f t="shared" si="7"/>
        <v>0</v>
      </c>
      <c r="B58" s="33">
        <f t="shared" si="8"/>
        <v>0</v>
      </c>
      <c r="C58" s="15">
        <f t="shared" si="9"/>
        <v>0</v>
      </c>
      <c r="D58" s="15">
        <f t="shared" si="10"/>
        <v>0</v>
      </c>
      <c r="E58" s="15">
        <f t="shared" si="11"/>
        <v>0</v>
      </c>
      <c r="F58" s="21"/>
      <c r="G58" s="21">
        <v>0</v>
      </c>
      <c r="H58" s="22"/>
      <c r="I58" s="16">
        <f t="shared" si="12"/>
        <v>0</v>
      </c>
      <c r="J58" s="21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21">
        <v>0</v>
      </c>
      <c r="R58" s="21">
        <v>0</v>
      </c>
      <c r="S58" s="17">
        <f t="shared" si="15"/>
        <v>0</v>
      </c>
      <c r="T58" s="17">
        <f t="shared" si="16"/>
        <v>0</v>
      </c>
      <c r="U58" s="18"/>
      <c r="V58" s="18"/>
      <c r="W58" s="18"/>
      <c r="X58" s="18"/>
      <c r="Y58" s="20">
        <f t="shared" si="13"/>
        <v>0</v>
      </c>
      <c r="Z58" s="20">
        <f t="shared" si="17"/>
        <v>0</v>
      </c>
      <c r="AA58" s="11"/>
      <c r="AB58" s="4"/>
      <c r="AC58" s="9">
        <f t="shared" si="14"/>
        <v>0</v>
      </c>
      <c r="AD58" s="9" t="e">
        <f>((#REF!*$AA$50)*$AB$50)</f>
        <v>#REF!</v>
      </c>
    </row>
    <row r="59" spans="1:30" x14ac:dyDescent="0.25">
      <c r="A59" s="56">
        <f t="shared" si="7"/>
        <v>0</v>
      </c>
      <c r="B59" s="33">
        <f t="shared" si="8"/>
        <v>0</v>
      </c>
      <c r="C59" s="15">
        <f t="shared" si="9"/>
        <v>0</v>
      </c>
      <c r="D59" s="15">
        <f t="shared" si="10"/>
        <v>0</v>
      </c>
      <c r="E59" s="15">
        <f t="shared" si="11"/>
        <v>0</v>
      </c>
      <c r="F59" s="21"/>
      <c r="G59" s="21">
        <v>0</v>
      </c>
      <c r="H59" s="22"/>
      <c r="I59" s="16">
        <f t="shared" si="12"/>
        <v>0</v>
      </c>
      <c r="J59" s="21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21">
        <v>0</v>
      </c>
      <c r="R59" s="21">
        <v>0</v>
      </c>
      <c r="S59" s="17">
        <f t="shared" si="15"/>
        <v>0</v>
      </c>
      <c r="T59" s="17">
        <f t="shared" si="16"/>
        <v>0</v>
      </c>
      <c r="U59" s="18"/>
      <c r="V59" s="18"/>
      <c r="W59" s="18"/>
      <c r="X59" s="18"/>
      <c r="Y59" s="20">
        <f t="shared" si="13"/>
        <v>0</v>
      </c>
      <c r="Z59" s="20">
        <f t="shared" si="17"/>
        <v>0</v>
      </c>
      <c r="AA59" s="11"/>
      <c r="AB59" s="4"/>
      <c r="AC59" s="9">
        <f t="shared" si="14"/>
        <v>0</v>
      </c>
      <c r="AD59" s="9" t="e">
        <f>((#REF!*$AA$50)*$AB$50)</f>
        <v>#REF!</v>
      </c>
    </row>
    <row r="60" spans="1:30" x14ac:dyDescent="0.25">
      <c r="A60" s="56">
        <f t="shared" si="7"/>
        <v>0</v>
      </c>
      <c r="B60" s="33">
        <f t="shared" si="8"/>
        <v>0</v>
      </c>
      <c r="C60" s="15">
        <f t="shared" si="9"/>
        <v>0</v>
      </c>
      <c r="D60" s="15">
        <f t="shared" si="10"/>
        <v>0</v>
      </c>
      <c r="E60" s="15">
        <f t="shared" si="11"/>
        <v>0</v>
      </c>
      <c r="F60" s="21"/>
      <c r="G60" s="21">
        <v>0</v>
      </c>
      <c r="H60" s="22"/>
      <c r="I60" s="16">
        <f t="shared" si="12"/>
        <v>0</v>
      </c>
      <c r="J60" s="21">
        <v>0</v>
      </c>
      <c r="K60" s="70">
        <v>0</v>
      </c>
      <c r="L60" s="70">
        <v>0</v>
      </c>
      <c r="M60" s="70">
        <v>0</v>
      </c>
      <c r="N60" s="70">
        <v>0</v>
      </c>
      <c r="O60" s="70">
        <v>0</v>
      </c>
      <c r="P60" s="70">
        <v>0</v>
      </c>
      <c r="Q60" s="21">
        <v>0</v>
      </c>
      <c r="R60" s="21">
        <v>0</v>
      </c>
      <c r="S60" s="17">
        <f t="shared" si="15"/>
        <v>0</v>
      </c>
      <c r="T60" s="17">
        <f t="shared" si="16"/>
        <v>0</v>
      </c>
      <c r="U60" s="18"/>
      <c r="V60" s="18"/>
      <c r="W60" s="18"/>
      <c r="X60" s="18"/>
      <c r="Y60" s="20">
        <f t="shared" si="13"/>
        <v>0</v>
      </c>
      <c r="Z60" s="20">
        <f t="shared" si="17"/>
        <v>0</v>
      </c>
      <c r="AA60" s="11"/>
      <c r="AB60" s="4"/>
      <c r="AC60" s="9">
        <f t="shared" si="14"/>
        <v>0</v>
      </c>
      <c r="AD60" s="9" t="e">
        <f>((#REF!*$AA$50)*$AB$50)</f>
        <v>#REF!</v>
      </c>
    </row>
    <row r="61" spans="1:30" x14ac:dyDescent="0.25">
      <c r="A61" s="56">
        <f t="shared" si="7"/>
        <v>0</v>
      </c>
      <c r="B61" s="33">
        <f t="shared" si="8"/>
        <v>0</v>
      </c>
      <c r="C61" s="15">
        <f t="shared" si="9"/>
        <v>0</v>
      </c>
      <c r="D61" s="15">
        <f t="shared" si="10"/>
        <v>0</v>
      </c>
      <c r="E61" s="15">
        <f t="shared" si="11"/>
        <v>0</v>
      </c>
      <c r="F61" s="21"/>
      <c r="G61" s="21">
        <v>0</v>
      </c>
      <c r="H61" s="22"/>
      <c r="I61" s="16">
        <f t="shared" si="12"/>
        <v>0</v>
      </c>
      <c r="J61" s="21">
        <v>0</v>
      </c>
      <c r="K61" s="70">
        <v>0</v>
      </c>
      <c r="L61" s="70">
        <v>0</v>
      </c>
      <c r="M61" s="70">
        <v>0</v>
      </c>
      <c r="N61" s="70">
        <v>0</v>
      </c>
      <c r="O61" s="70">
        <v>0</v>
      </c>
      <c r="P61" s="70">
        <v>0</v>
      </c>
      <c r="Q61" s="21">
        <v>0</v>
      </c>
      <c r="R61" s="21">
        <v>0</v>
      </c>
      <c r="S61" s="17">
        <f t="shared" si="15"/>
        <v>0</v>
      </c>
      <c r="T61" s="17">
        <f t="shared" si="16"/>
        <v>0</v>
      </c>
      <c r="U61" s="18"/>
      <c r="V61" s="18"/>
      <c r="W61" s="18"/>
      <c r="X61" s="18"/>
      <c r="Y61" s="20">
        <f t="shared" si="13"/>
        <v>0</v>
      </c>
      <c r="Z61" s="20">
        <f t="shared" si="17"/>
        <v>0</v>
      </c>
      <c r="AA61" s="11"/>
      <c r="AB61" s="4"/>
      <c r="AC61" s="9">
        <f t="shared" si="14"/>
        <v>0</v>
      </c>
      <c r="AD61" s="9" t="e">
        <f>((#REF!*$AA$50)*$AB$50)</f>
        <v>#REF!</v>
      </c>
    </row>
    <row r="62" spans="1:30" ht="16.5" customHeight="1" x14ac:dyDescent="0.25">
      <c r="A62" s="56">
        <f t="shared" si="7"/>
        <v>0</v>
      </c>
      <c r="B62" s="33">
        <f t="shared" si="8"/>
        <v>0</v>
      </c>
      <c r="C62" s="15">
        <f t="shared" si="9"/>
        <v>0</v>
      </c>
      <c r="D62" s="15">
        <f t="shared" si="10"/>
        <v>0</v>
      </c>
      <c r="E62" s="15">
        <f t="shared" si="11"/>
        <v>0</v>
      </c>
      <c r="F62" s="21"/>
      <c r="G62" s="21">
        <v>0</v>
      </c>
      <c r="H62" s="22"/>
      <c r="I62" s="16">
        <f t="shared" si="12"/>
        <v>0</v>
      </c>
      <c r="J62" s="21">
        <v>0</v>
      </c>
      <c r="K62" s="70">
        <v>0</v>
      </c>
      <c r="L62" s="70">
        <v>0</v>
      </c>
      <c r="M62" s="70">
        <v>0</v>
      </c>
      <c r="N62" s="70">
        <v>0</v>
      </c>
      <c r="O62" s="70">
        <v>0</v>
      </c>
      <c r="P62" s="70">
        <v>0</v>
      </c>
      <c r="Q62" s="21">
        <v>0</v>
      </c>
      <c r="R62" s="21">
        <v>0</v>
      </c>
      <c r="S62" s="17">
        <f t="shared" si="15"/>
        <v>0</v>
      </c>
      <c r="T62" s="17">
        <f t="shared" si="16"/>
        <v>0</v>
      </c>
      <c r="U62" s="18"/>
      <c r="V62" s="18"/>
      <c r="W62" s="18"/>
      <c r="X62" s="18"/>
      <c r="Y62" s="20">
        <f t="shared" si="13"/>
        <v>0</v>
      </c>
      <c r="Z62" s="20">
        <f t="shared" si="17"/>
        <v>0</v>
      </c>
      <c r="AA62" s="11"/>
      <c r="AB62" s="4"/>
      <c r="AC62" s="9">
        <f t="shared" si="14"/>
        <v>0</v>
      </c>
      <c r="AD62" s="9" t="e">
        <f>((#REF!*$AA$50)*$AB$50)</f>
        <v>#REF!</v>
      </c>
    </row>
    <row r="63" spans="1:30" ht="16.5" customHeight="1" x14ac:dyDescent="0.25">
      <c r="A63" s="56">
        <f t="shared" si="7"/>
        <v>0</v>
      </c>
      <c r="B63" s="33">
        <f t="shared" si="8"/>
        <v>0</v>
      </c>
      <c r="C63" s="15">
        <f t="shared" si="9"/>
        <v>0</v>
      </c>
      <c r="D63" s="15">
        <f t="shared" si="10"/>
        <v>0</v>
      </c>
      <c r="E63" s="15">
        <f t="shared" si="11"/>
        <v>0</v>
      </c>
      <c r="F63" s="21"/>
      <c r="G63" s="21">
        <v>0</v>
      </c>
      <c r="H63" s="21"/>
      <c r="I63" s="16">
        <f t="shared" si="12"/>
        <v>0</v>
      </c>
      <c r="J63" s="21">
        <v>0</v>
      </c>
      <c r="K63" s="70">
        <v>0</v>
      </c>
      <c r="L63" s="70">
        <v>0</v>
      </c>
      <c r="M63" s="70">
        <v>0</v>
      </c>
      <c r="N63" s="70">
        <v>0</v>
      </c>
      <c r="O63" s="70">
        <v>0</v>
      </c>
      <c r="P63" s="70">
        <v>0</v>
      </c>
      <c r="Q63" s="21">
        <v>0</v>
      </c>
      <c r="R63" s="21">
        <v>0</v>
      </c>
      <c r="S63" s="17">
        <f t="shared" si="15"/>
        <v>0</v>
      </c>
      <c r="T63" s="17">
        <f t="shared" si="16"/>
        <v>0</v>
      </c>
      <c r="U63" s="18"/>
      <c r="V63" s="18"/>
      <c r="W63" s="18"/>
      <c r="X63" s="18"/>
      <c r="Y63" s="20">
        <f t="shared" si="13"/>
        <v>0</v>
      </c>
      <c r="Z63" s="20">
        <f t="shared" si="17"/>
        <v>0</v>
      </c>
      <c r="AA63" s="11"/>
      <c r="AB63" s="4"/>
      <c r="AC63" s="9">
        <f t="shared" si="14"/>
        <v>0</v>
      </c>
      <c r="AD63" s="9" t="e">
        <f>((#REF!*$AA$50)*$AB$50)</f>
        <v>#REF!</v>
      </c>
    </row>
    <row r="64" spans="1:30" ht="16.5" customHeight="1" x14ac:dyDescent="0.25">
      <c r="A64" s="56">
        <f t="shared" si="7"/>
        <v>0</v>
      </c>
      <c r="B64" s="33">
        <f t="shared" si="8"/>
        <v>0</v>
      </c>
      <c r="C64" s="15">
        <f t="shared" si="9"/>
        <v>0</v>
      </c>
      <c r="D64" s="15">
        <f t="shared" si="10"/>
        <v>0</v>
      </c>
      <c r="E64" s="15">
        <f t="shared" si="11"/>
        <v>0</v>
      </c>
      <c r="F64" s="21"/>
      <c r="G64" s="21">
        <v>0</v>
      </c>
      <c r="H64" s="22"/>
      <c r="I64" s="16">
        <f t="shared" si="12"/>
        <v>0</v>
      </c>
      <c r="J64" s="21">
        <v>0</v>
      </c>
      <c r="K64" s="70">
        <v>0</v>
      </c>
      <c r="L64" s="70">
        <v>0</v>
      </c>
      <c r="M64" s="70">
        <v>0</v>
      </c>
      <c r="N64" s="70">
        <v>0</v>
      </c>
      <c r="O64" s="70">
        <v>0</v>
      </c>
      <c r="P64" s="70">
        <v>0</v>
      </c>
      <c r="Q64" s="21">
        <v>0</v>
      </c>
      <c r="R64" s="21">
        <v>0</v>
      </c>
      <c r="S64" s="17">
        <f t="shared" si="15"/>
        <v>0</v>
      </c>
      <c r="T64" s="17">
        <f t="shared" si="16"/>
        <v>0</v>
      </c>
      <c r="U64" s="18"/>
      <c r="V64" s="18"/>
      <c r="W64" s="18"/>
      <c r="X64" s="18"/>
      <c r="Y64" s="20">
        <f t="shared" si="13"/>
        <v>0</v>
      </c>
      <c r="Z64" s="20">
        <f t="shared" si="17"/>
        <v>0</v>
      </c>
      <c r="AA64" s="11"/>
      <c r="AB64" s="4"/>
      <c r="AC64" s="9">
        <f t="shared" si="14"/>
        <v>0</v>
      </c>
      <c r="AD64" s="9" t="e">
        <f>((#REF!*$AA$50)*$AB$50)</f>
        <v>#REF!</v>
      </c>
    </row>
    <row r="65" spans="1:32" ht="16.5" customHeight="1" x14ac:dyDescent="0.25">
      <c r="A65" s="56">
        <f t="shared" si="7"/>
        <v>0</v>
      </c>
      <c r="B65" s="33">
        <f t="shared" si="8"/>
        <v>0</v>
      </c>
      <c r="C65" s="15">
        <f t="shared" si="9"/>
        <v>0</v>
      </c>
      <c r="D65" s="15">
        <f t="shared" si="10"/>
        <v>0</v>
      </c>
      <c r="E65" s="15">
        <f t="shared" si="11"/>
        <v>0</v>
      </c>
      <c r="F65" s="21"/>
      <c r="G65" s="21">
        <v>0</v>
      </c>
      <c r="H65" s="22"/>
      <c r="I65" s="16">
        <f t="shared" si="12"/>
        <v>0</v>
      </c>
      <c r="J65" s="21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21">
        <v>0</v>
      </c>
      <c r="R65" s="21">
        <v>0</v>
      </c>
      <c r="S65" s="17">
        <f t="shared" si="15"/>
        <v>0</v>
      </c>
      <c r="T65" s="17">
        <f t="shared" si="16"/>
        <v>0</v>
      </c>
      <c r="U65" s="18"/>
      <c r="V65" s="18"/>
      <c r="W65" s="18"/>
      <c r="X65" s="18"/>
      <c r="Y65" s="20">
        <f t="shared" si="13"/>
        <v>0</v>
      </c>
      <c r="Z65" s="20">
        <f t="shared" si="17"/>
        <v>0</v>
      </c>
      <c r="AA65" s="11"/>
      <c r="AB65" s="4"/>
      <c r="AC65" s="9">
        <f t="shared" si="14"/>
        <v>0</v>
      </c>
      <c r="AD65" s="9" t="e">
        <f>((#REF!*$AA$50)*$AB$50)</f>
        <v>#REF!</v>
      </c>
    </row>
    <row r="66" spans="1:32" ht="16.5" customHeight="1" x14ac:dyDescent="0.25">
      <c r="A66" s="56">
        <f t="shared" si="7"/>
        <v>0</v>
      </c>
      <c r="B66" s="33">
        <f t="shared" si="8"/>
        <v>0</v>
      </c>
      <c r="C66" s="15">
        <f t="shared" si="9"/>
        <v>0</v>
      </c>
      <c r="D66" s="15">
        <f t="shared" si="10"/>
        <v>0</v>
      </c>
      <c r="E66" s="15">
        <f t="shared" si="11"/>
        <v>0</v>
      </c>
      <c r="F66" s="21"/>
      <c r="G66" s="21">
        <v>0</v>
      </c>
      <c r="H66" s="22"/>
      <c r="I66" s="16">
        <f>H65*$B$37</f>
        <v>0</v>
      </c>
      <c r="J66" s="21">
        <v>0</v>
      </c>
      <c r="K66" s="70">
        <v>0</v>
      </c>
      <c r="L66" s="70">
        <v>0</v>
      </c>
      <c r="M66" s="70">
        <v>0</v>
      </c>
      <c r="N66" s="70">
        <v>0</v>
      </c>
      <c r="O66" s="70">
        <v>0</v>
      </c>
      <c r="P66" s="70">
        <v>0</v>
      </c>
      <c r="Q66" s="21">
        <v>0</v>
      </c>
      <c r="R66" s="21">
        <v>0</v>
      </c>
      <c r="S66" s="17">
        <f>SUM(I66:R66)+G66</f>
        <v>0</v>
      </c>
      <c r="T66" s="17">
        <f t="shared" si="16"/>
        <v>0</v>
      </c>
      <c r="U66" s="18"/>
      <c r="V66" s="18"/>
      <c r="W66" s="18"/>
      <c r="X66" s="18"/>
      <c r="Y66" s="20">
        <f t="shared" si="13"/>
        <v>0</v>
      </c>
      <c r="Z66" s="20">
        <f t="shared" si="17"/>
        <v>0</v>
      </c>
      <c r="AA66" s="11"/>
      <c r="AB66" s="4"/>
      <c r="AC66" s="9">
        <f t="shared" si="14"/>
        <v>0</v>
      </c>
      <c r="AD66" s="9" t="e">
        <f>((#REF!*$AA$50)*$AB$50)</f>
        <v>#REF!</v>
      </c>
      <c r="AE66" s="9"/>
      <c r="AF66" s="9"/>
    </row>
    <row r="67" spans="1:32" ht="16.5" customHeight="1" x14ac:dyDescent="0.25">
      <c r="A67" s="56">
        <f t="shared" ref="A67:A70" si="18">I20</f>
        <v>0</v>
      </c>
      <c r="B67" s="33">
        <f t="shared" ref="B67:B70" si="19">M20</f>
        <v>0</v>
      </c>
      <c r="C67" s="15">
        <f t="shared" ref="C67:C70" si="20">J20</f>
        <v>0</v>
      </c>
      <c r="D67" s="15">
        <f t="shared" ref="D67:D70" si="21">K20*1000</f>
        <v>0</v>
      </c>
      <c r="E67" s="15">
        <f t="shared" ref="E67:E70" si="22">L20*1000</f>
        <v>0</v>
      </c>
      <c r="F67" s="21"/>
      <c r="G67" s="21">
        <v>0</v>
      </c>
      <c r="H67" s="22"/>
      <c r="I67" s="16">
        <f>H66*$B$37</f>
        <v>0</v>
      </c>
      <c r="J67" s="21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21">
        <v>0</v>
      </c>
      <c r="R67" s="21">
        <v>0</v>
      </c>
      <c r="S67" s="17">
        <f t="shared" si="15"/>
        <v>0</v>
      </c>
      <c r="T67" s="17">
        <f t="shared" si="16"/>
        <v>0</v>
      </c>
      <c r="U67" s="18"/>
      <c r="V67" s="18"/>
      <c r="W67" s="18"/>
      <c r="X67" s="18"/>
      <c r="Y67" s="20">
        <f t="shared" si="13"/>
        <v>0</v>
      </c>
      <c r="Z67" s="20">
        <f t="shared" si="17"/>
        <v>0</v>
      </c>
      <c r="AA67" s="11"/>
      <c r="AB67" s="4"/>
      <c r="AC67" s="9">
        <f t="shared" si="14"/>
        <v>0</v>
      </c>
      <c r="AD67" s="9" t="e">
        <f>((#REF!*$AA$50)*$AB$50)</f>
        <v>#REF!</v>
      </c>
    </row>
    <row r="68" spans="1:32" ht="16.5" customHeight="1" x14ac:dyDescent="0.25">
      <c r="A68" s="56">
        <f t="shared" si="18"/>
        <v>0</v>
      </c>
      <c r="B68" s="33">
        <f t="shared" si="19"/>
        <v>0</v>
      </c>
      <c r="C68" s="15">
        <f t="shared" si="20"/>
        <v>0</v>
      </c>
      <c r="D68" s="15">
        <f t="shared" si="21"/>
        <v>0</v>
      </c>
      <c r="E68" s="15">
        <f t="shared" si="22"/>
        <v>0</v>
      </c>
      <c r="F68" s="21"/>
      <c r="G68" s="21">
        <v>0</v>
      </c>
      <c r="H68" s="22"/>
      <c r="I68" s="16">
        <f>H67*$B$37</f>
        <v>0</v>
      </c>
      <c r="J68" s="21">
        <v>0</v>
      </c>
      <c r="K68" s="70">
        <v>0</v>
      </c>
      <c r="L68" s="70">
        <v>0</v>
      </c>
      <c r="M68" s="70">
        <v>0</v>
      </c>
      <c r="N68" s="70">
        <v>0</v>
      </c>
      <c r="O68" s="70">
        <v>0</v>
      </c>
      <c r="P68" s="70">
        <v>0</v>
      </c>
      <c r="Q68" s="21">
        <v>0</v>
      </c>
      <c r="R68" s="21">
        <v>0</v>
      </c>
      <c r="S68" s="17">
        <f t="shared" si="15"/>
        <v>0</v>
      </c>
      <c r="T68" s="17">
        <f t="shared" si="16"/>
        <v>0</v>
      </c>
      <c r="U68" s="18"/>
      <c r="V68" s="18"/>
      <c r="W68" s="18"/>
      <c r="X68" s="18"/>
      <c r="Y68" s="20">
        <f t="shared" si="13"/>
        <v>0</v>
      </c>
      <c r="Z68" s="20">
        <f t="shared" si="17"/>
        <v>0</v>
      </c>
      <c r="AA68" s="11"/>
      <c r="AB68" s="4"/>
      <c r="AC68" s="9">
        <f t="shared" si="14"/>
        <v>0</v>
      </c>
      <c r="AD68" s="9" t="e">
        <f>((#REF!*$AA$50)*$AB$50)</f>
        <v>#REF!</v>
      </c>
    </row>
    <row r="69" spans="1:32" ht="16.5" customHeight="1" x14ac:dyDescent="0.25">
      <c r="A69" s="56">
        <f t="shared" si="18"/>
        <v>0</v>
      </c>
      <c r="B69" s="33">
        <f t="shared" si="19"/>
        <v>0</v>
      </c>
      <c r="C69" s="15">
        <f t="shared" si="20"/>
        <v>0</v>
      </c>
      <c r="D69" s="15">
        <f t="shared" si="21"/>
        <v>0</v>
      </c>
      <c r="E69" s="15">
        <f t="shared" si="22"/>
        <v>0</v>
      </c>
      <c r="F69" s="21"/>
      <c r="G69" s="21">
        <v>0</v>
      </c>
      <c r="H69" s="22"/>
      <c r="I69" s="16">
        <f>H68*$B$37</f>
        <v>0</v>
      </c>
      <c r="J69" s="21">
        <v>0</v>
      </c>
      <c r="K69" s="70">
        <v>0</v>
      </c>
      <c r="L69" s="70">
        <v>0</v>
      </c>
      <c r="M69" s="70">
        <v>0</v>
      </c>
      <c r="N69" s="70">
        <v>0</v>
      </c>
      <c r="O69" s="70">
        <v>0</v>
      </c>
      <c r="P69" s="70">
        <v>0</v>
      </c>
      <c r="Q69" s="21">
        <v>0</v>
      </c>
      <c r="R69" s="21">
        <v>0</v>
      </c>
      <c r="S69" s="17">
        <f t="shared" si="15"/>
        <v>0</v>
      </c>
      <c r="T69" s="17">
        <f t="shared" si="16"/>
        <v>0</v>
      </c>
      <c r="U69" s="18"/>
      <c r="V69" s="18"/>
      <c r="W69" s="18"/>
      <c r="X69" s="18"/>
      <c r="Y69" s="20">
        <f t="shared" si="13"/>
        <v>0</v>
      </c>
      <c r="Z69" s="20">
        <f t="shared" si="17"/>
        <v>0</v>
      </c>
      <c r="AA69" s="11"/>
      <c r="AB69" s="4"/>
      <c r="AC69" s="9">
        <f t="shared" si="14"/>
        <v>0</v>
      </c>
      <c r="AD69" s="9" t="e">
        <f>((#REF!*$AA$50)*$AB$50)</f>
        <v>#REF!</v>
      </c>
    </row>
    <row r="70" spans="1:32" ht="16.5" customHeight="1" x14ac:dyDescent="0.25">
      <c r="A70" s="56">
        <f t="shared" si="18"/>
        <v>0</v>
      </c>
      <c r="B70" s="33">
        <f t="shared" si="19"/>
        <v>0</v>
      </c>
      <c r="C70" s="15">
        <f t="shared" si="20"/>
        <v>0</v>
      </c>
      <c r="D70" s="15">
        <f t="shared" si="21"/>
        <v>0</v>
      </c>
      <c r="E70" s="15">
        <f t="shared" si="22"/>
        <v>0</v>
      </c>
      <c r="F70" s="21"/>
      <c r="G70" s="21">
        <v>0</v>
      </c>
      <c r="H70" s="22"/>
      <c r="I70" s="16">
        <f>H69*$B$37</f>
        <v>0</v>
      </c>
      <c r="J70" s="21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21">
        <v>0</v>
      </c>
      <c r="R70" s="21">
        <v>0</v>
      </c>
      <c r="S70" s="17">
        <f t="shared" si="15"/>
        <v>0</v>
      </c>
      <c r="T70" s="17">
        <f t="shared" si="16"/>
        <v>0</v>
      </c>
      <c r="U70" s="18"/>
      <c r="V70" s="18"/>
      <c r="W70" s="18"/>
      <c r="X70" s="18"/>
      <c r="Y70" s="20">
        <f t="shared" si="13"/>
        <v>0</v>
      </c>
      <c r="Z70" s="20">
        <f t="shared" si="17"/>
        <v>0</v>
      </c>
      <c r="AA70" s="11"/>
      <c r="AB70" s="4"/>
      <c r="AC70" s="9">
        <f t="shared" si="14"/>
        <v>0</v>
      </c>
      <c r="AD70" s="9" t="e">
        <f>((#REF!*$AA$50)*$AB$50)</f>
        <v>#REF!</v>
      </c>
    </row>
    <row r="71" spans="1:32" ht="16.5" customHeight="1" x14ac:dyDescent="0.25">
      <c r="A71" s="56">
        <f t="shared" ref="A71:A76" si="23">I24</f>
        <v>0</v>
      </c>
      <c r="B71" s="33">
        <f t="shared" ref="B71:B76" si="24">M24</f>
        <v>0</v>
      </c>
      <c r="C71" s="15">
        <f t="shared" ref="C71:C76" si="25">J24</f>
        <v>0</v>
      </c>
      <c r="D71" s="15">
        <f t="shared" ref="D71:E76" si="26">K24*1000</f>
        <v>0</v>
      </c>
      <c r="E71" s="15">
        <f t="shared" si="26"/>
        <v>0</v>
      </c>
      <c r="F71" s="21"/>
      <c r="G71" s="21">
        <v>0</v>
      </c>
      <c r="H71" s="22"/>
      <c r="I71" s="16">
        <f>H70*$B$37</f>
        <v>0</v>
      </c>
      <c r="J71" s="21">
        <v>0</v>
      </c>
      <c r="K71" s="70">
        <v>0</v>
      </c>
      <c r="L71" s="70">
        <v>0</v>
      </c>
      <c r="M71" s="70">
        <v>0</v>
      </c>
      <c r="N71" s="70">
        <v>0</v>
      </c>
      <c r="O71" s="70">
        <v>0</v>
      </c>
      <c r="P71" s="70">
        <v>0</v>
      </c>
      <c r="Q71" s="21">
        <v>0</v>
      </c>
      <c r="R71" s="21">
        <v>0</v>
      </c>
      <c r="S71" s="17">
        <f t="shared" si="15"/>
        <v>0</v>
      </c>
      <c r="T71" s="17">
        <f t="shared" si="16"/>
        <v>0</v>
      </c>
      <c r="U71" s="18"/>
      <c r="V71" s="18"/>
      <c r="W71" s="18"/>
      <c r="X71" s="18"/>
      <c r="Y71" s="20">
        <f t="shared" si="13"/>
        <v>0</v>
      </c>
      <c r="Z71" s="20">
        <f t="shared" si="17"/>
        <v>0</v>
      </c>
      <c r="AA71" s="11"/>
      <c r="AB71" s="4"/>
      <c r="AC71" s="9">
        <f t="shared" si="14"/>
        <v>0</v>
      </c>
      <c r="AD71" s="9" t="e">
        <f>((#REF!*$AA$50)*$AB$50)</f>
        <v>#REF!</v>
      </c>
    </row>
    <row r="72" spans="1:32" ht="16.5" customHeight="1" x14ac:dyDescent="0.25">
      <c r="A72" s="56">
        <f t="shared" si="23"/>
        <v>0</v>
      </c>
      <c r="B72" s="33">
        <f t="shared" si="24"/>
        <v>0</v>
      </c>
      <c r="C72" s="15">
        <f t="shared" si="25"/>
        <v>0</v>
      </c>
      <c r="D72" s="15">
        <f t="shared" si="26"/>
        <v>0</v>
      </c>
      <c r="E72" s="15">
        <f t="shared" si="26"/>
        <v>0</v>
      </c>
      <c r="F72" s="21"/>
      <c r="G72" s="21">
        <v>0</v>
      </c>
      <c r="H72" s="22"/>
      <c r="I72" s="16">
        <f>H71*$B$37</f>
        <v>0</v>
      </c>
      <c r="J72" s="21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21">
        <v>0</v>
      </c>
      <c r="R72" s="21">
        <v>0</v>
      </c>
      <c r="S72" s="17">
        <f t="shared" si="15"/>
        <v>0</v>
      </c>
      <c r="T72" s="17">
        <f t="shared" si="16"/>
        <v>0</v>
      </c>
      <c r="U72" s="18"/>
      <c r="V72" s="18"/>
      <c r="W72" s="18"/>
      <c r="X72" s="18"/>
      <c r="Y72" s="20">
        <f t="shared" si="13"/>
        <v>0</v>
      </c>
      <c r="Z72" s="20">
        <f t="shared" si="17"/>
        <v>0</v>
      </c>
      <c r="AA72" s="11"/>
      <c r="AB72" s="4"/>
      <c r="AC72" s="9">
        <f t="shared" si="14"/>
        <v>0</v>
      </c>
      <c r="AD72" s="9" t="e">
        <f>((#REF!*$AA$50)*$AB$50)</f>
        <v>#REF!</v>
      </c>
    </row>
    <row r="73" spans="1:32" ht="16.5" customHeight="1" x14ac:dyDescent="0.25">
      <c r="A73" s="56">
        <f t="shared" si="23"/>
        <v>0</v>
      </c>
      <c r="B73" s="33">
        <f t="shared" si="24"/>
        <v>0</v>
      </c>
      <c r="C73" s="15">
        <f t="shared" si="25"/>
        <v>0</v>
      </c>
      <c r="D73" s="15">
        <f t="shared" si="26"/>
        <v>0</v>
      </c>
      <c r="E73" s="15">
        <f t="shared" si="26"/>
        <v>0</v>
      </c>
      <c r="F73" s="21"/>
      <c r="G73" s="21">
        <v>0</v>
      </c>
      <c r="H73" s="22"/>
      <c r="I73" s="16">
        <f>H72*$B$37</f>
        <v>0</v>
      </c>
      <c r="J73" s="21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21">
        <v>0</v>
      </c>
      <c r="R73" s="21">
        <v>0</v>
      </c>
      <c r="S73" s="17">
        <f t="shared" si="15"/>
        <v>0</v>
      </c>
      <c r="T73" s="17">
        <f t="shared" si="16"/>
        <v>0</v>
      </c>
      <c r="U73" s="18"/>
      <c r="V73" s="18"/>
      <c r="W73" s="18"/>
      <c r="X73" s="18"/>
      <c r="Y73" s="20">
        <f t="shared" si="13"/>
        <v>0</v>
      </c>
      <c r="Z73" s="20">
        <f t="shared" si="17"/>
        <v>0</v>
      </c>
      <c r="AA73" s="11"/>
      <c r="AB73" s="4"/>
      <c r="AC73" s="9">
        <f t="shared" si="14"/>
        <v>0</v>
      </c>
      <c r="AD73" s="9" t="e">
        <f>((#REF!*$AA$50)*$AB$50)</f>
        <v>#REF!</v>
      </c>
    </row>
    <row r="74" spans="1:32" ht="16.5" customHeight="1" x14ac:dyDescent="0.25">
      <c r="A74" s="56">
        <f t="shared" si="23"/>
        <v>0</v>
      </c>
      <c r="B74" s="33">
        <f t="shared" si="24"/>
        <v>0</v>
      </c>
      <c r="C74" s="15">
        <f t="shared" si="25"/>
        <v>0</v>
      </c>
      <c r="D74" s="15">
        <f t="shared" si="26"/>
        <v>0</v>
      </c>
      <c r="E74" s="15">
        <f t="shared" si="26"/>
        <v>0</v>
      </c>
      <c r="F74" s="21"/>
      <c r="G74" s="21">
        <v>0</v>
      </c>
      <c r="H74" s="22"/>
      <c r="I74" s="16">
        <f>H73*$B$37</f>
        <v>0</v>
      </c>
      <c r="J74" s="21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  <c r="P74" s="70">
        <v>0</v>
      </c>
      <c r="Q74" s="21">
        <v>0</v>
      </c>
      <c r="R74" s="21">
        <v>0</v>
      </c>
      <c r="S74" s="17">
        <f t="shared" si="15"/>
        <v>0</v>
      </c>
      <c r="T74" s="17">
        <f t="shared" si="16"/>
        <v>0</v>
      </c>
      <c r="U74" s="18"/>
      <c r="V74" s="18"/>
      <c r="W74" s="18"/>
      <c r="X74" s="18"/>
      <c r="Y74" s="20">
        <f t="shared" si="13"/>
        <v>0</v>
      </c>
      <c r="Z74" s="20">
        <f t="shared" si="17"/>
        <v>0</v>
      </c>
      <c r="AA74" s="11"/>
      <c r="AB74" s="4"/>
      <c r="AC74" s="9">
        <f t="shared" si="14"/>
        <v>0</v>
      </c>
      <c r="AD74" s="9" t="e">
        <f>((#REF!*$AA$50)*$AB$50)</f>
        <v>#REF!</v>
      </c>
    </row>
    <row r="75" spans="1:32" ht="16.5" customHeight="1" x14ac:dyDescent="0.25">
      <c r="A75" s="56">
        <f t="shared" si="23"/>
        <v>0</v>
      </c>
      <c r="B75" s="33">
        <f t="shared" si="24"/>
        <v>0</v>
      </c>
      <c r="C75" s="15">
        <f t="shared" si="25"/>
        <v>0</v>
      </c>
      <c r="D75" s="15">
        <f t="shared" si="26"/>
        <v>0</v>
      </c>
      <c r="E75" s="15">
        <f t="shared" si="26"/>
        <v>0</v>
      </c>
      <c r="F75" s="21"/>
      <c r="G75" s="21">
        <v>0</v>
      </c>
      <c r="H75" s="22"/>
      <c r="I75" s="16">
        <f>H74*$B$37</f>
        <v>0</v>
      </c>
      <c r="J75" s="21">
        <v>0</v>
      </c>
      <c r="K75" s="70">
        <v>0</v>
      </c>
      <c r="L75" s="70">
        <v>0</v>
      </c>
      <c r="M75" s="70">
        <v>0</v>
      </c>
      <c r="N75" s="70">
        <v>0</v>
      </c>
      <c r="O75" s="70">
        <v>0</v>
      </c>
      <c r="P75" s="70">
        <v>0</v>
      </c>
      <c r="Q75" s="21">
        <v>0</v>
      </c>
      <c r="R75" s="21">
        <v>0</v>
      </c>
      <c r="S75" s="17">
        <f t="shared" si="15"/>
        <v>0</v>
      </c>
      <c r="T75" s="17">
        <f t="shared" si="16"/>
        <v>0</v>
      </c>
      <c r="U75" s="18"/>
      <c r="V75" s="18"/>
      <c r="W75" s="18"/>
      <c r="X75" s="18"/>
      <c r="Y75" s="20">
        <f t="shared" si="13"/>
        <v>0</v>
      </c>
      <c r="Z75" s="20">
        <f t="shared" si="17"/>
        <v>0</v>
      </c>
      <c r="AA75" s="11"/>
      <c r="AB75" s="4"/>
      <c r="AC75" s="9">
        <f t="shared" si="14"/>
        <v>0</v>
      </c>
      <c r="AD75" s="9" t="e">
        <f>((#REF!*$AA$50)*$AB$50)</f>
        <v>#REF!</v>
      </c>
    </row>
    <row r="76" spans="1:32" ht="16.5" customHeight="1" x14ac:dyDescent="0.25">
      <c r="A76" s="56">
        <f t="shared" si="23"/>
        <v>0</v>
      </c>
      <c r="B76" s="33">
        <f t="shared" si="24"/>
        <v>0</v>
      </c>
      <c r="C76" s="15">
        <f t="shared" si="25"/>
        <v>0</v>
      </c>
      <c r="D76" s="15">
        <f t="shared" si="26"/>
        <v>0</v>
      </c>
      <c r="E76" s="15">
        <f t="shared" si="26"/>
        <v>0</v>
      </c>
      <c r="F76" s="21"/>
      <c r="G76" s="21">
        <v>0</v>
      </c>
      <c r="H76" s="22"/>
      <c r="I76" s="16">
        <f>H75*$B$37</f>
        <v>0</v>
      </c>
      <c r="J76" s="21">
        <v>0</v>
      </c>
      <c r="K76" s="70">
        <v>0</v>
      </c>
      <c r="L76" s="70">
        <v>0</v>
      </c>
      <c r="M76" s="70">
        <v>0</v>
      </c>
      <c r="N76" s="70">
        <v>0</v>
      </c>
      <c r="O76" s="70">
        <v>0</v>
      </c>
      <c r="P76" s="70">
        <v>0</v>
      </c>
      <c r="Q76" s="21">
        <v>0</v>
      </c>
      <c r="R76" s="21">
        <v>0</v>
      </c>
      <c r="S76" s="17">
        <f t="shared" si="15"/>
        <v>0</v>
      </c>
      <c r="T76" s="17">
        <f t="shared" si="16"/>
        <v>0</v>
      </c>
      <c r="U76" s="18"/>
      <c r="V76" s="18"/>
      <c r="W76" s="18"/>
      <c r="X76" s="18"/>
      <c r="Y76" s="20">
        <f t="shared" si="13"/>
        <v>0</v>
      </c>
      <c r="Z76" s="20">
        <f t="shared" si="17"/>
        <v>0</v>
      </c>
      <c r="AA76" s="11"/>
      <c r="AB76" s="4"/>
      <c r="AC76" s="9">
        <f t="shared" si="14"/>
        <v>0</v>
      </c>
      <c r="AD76" s="9" t="e">
        <f>((#REF!*$AA$50)*$AB$50)</f>
        <v>#REF!</v>
      </c>
    </row>
    <row r="77" spans="1:32" ht="16.5" customHeight="1" x14ac:dyDescent="0.25">
      <c r="A77" s="56">
        <f>I31</f>
        <v>0</v>
      </c>
      <c r="B77" s="33">
        <f>M31</f>
        <v>0</v>
      </c>
      <c r="C77" s="15">
        <f>J31</f>
        <v>0</v>
      </c>
      <c r="D77" s="15">
        <f t="shared" ref="D77:E79" si="27">K31*1000</f>
        <v>0</v>
      </c>
      <c r="E77" s="15">
        <f t="shared" si="27"/>
        <v>0</v>
      </c>
      <c r="F77" s="21"/>
      <c r="G77" s="21">
        <v>0</v>
      </c>
      <c r="H77" s="22"/>
      <c r="I77" s="16">
        <f>H76*$B$37</f>
        <v>0</v>
      </c>
      <c r="J77" s="21">
        <v>0</v>
      </c>
      <c r="K77" s="70">
        <v>0</v>
      </c>
      <c r="L77" s="70">
        <v>0</v>
      </c>
      <c r="M77" s="70">
        <v>0</v>
      </c>
      <c r="N77" s="70">
        <v>0</v>
      </c>
      <c r="O77" s="70">
        <f t="shared" ref="O77:O79" si="28">(E77/1000)*$Q$43</f>
        <v>0</v>
      </c>
      <c r="P77" s="70">
        <v>0</v>
      </c>
      <c r="Q77" s="21">
        <v>0</v>
      </c>
      <c r="R77" s="21">
        <v>0</v>
      </c>
      <c r="S77" s="17">
        <f t="shared" si="15"/>
        <v>0</v>
      </c>
      <c r="T77" s="17">
        <f t="shared" ref="T77:T81" si="29">S77*C77</f>
        <v>0</v>
      </c>
      <c r="U77" s="18"/>
      <c r="V77" s="18"/>
      <c r="W77" s="18"/>
      <c r="X77" s="18"/>
      <c r="Y77" s="20">
        <f t="shared" si="13"/>
        <v>0</v>
      </c>
      <c r="Z77" s="20">
        <f t="shared" si="17"/>
        <v>0</v>
      </c>
      <c r="AA77" s="11"/>
      <c r="AB77" s="4"/>
      <c r="AC77" s="9">
        <f t="shared" si="14"/>
        <v>0</v>
      </c>
      <c r="AD77" s="9" t="e">
        <f>((#REF!*$AA$50)*$AB$50)</f>
        <v>#REF!</v>
      </c>
    </row>
    <row r="78" spans="1:32" ht="16.5" customHeight="1" x14ac:dyDescent="0.25">
      <c r="A78" s="56">
        <f>I32</f>
        <v>0</v>
      </c>
      <c r="B78" s="33">
        <f>M32</f>
        <v>0</v>
      </c>
      <c r="C78" s="15">
        <f>J32</f>
        <v>0</v>
      </c>
      <c r="D78" s="15">
        <f t="shared" si="27"/>
        <v>0</v>
      </c>
      <c r="E78" s="15">
        <f t="shared" si="27"/>
        <v>0</v>
      </c>
      <c r="F78" s="21"/>
      <c r="G78" s="21">
        <v>0</v>
      </c>
      <c r="H78" s="22"/>
      <c r="I78" s="16">
        <f>H77*$B$37</f>
        <v>0</v>
      </c>
      <c r="J78" s="21">
        <v>0</v>
      </c>
      <c r="K78" s="70">
        <v>0</v>
      </c>
      <c r="L78" s="70">
        <v>0</v>
      </c>
      <c r="M78" s="70">
        <v>0</v>
      </c>
      <c r="N78" s="70">
        <v>0</v>
      </c>
      <c r="O78" s="70">
        <f t="shared" si="28"/>
        <v>0</v>
      </c>
      <c r="P78" s="70">
        <v>0</v>
      </c>
      <c r="Q78" s="21">
        <v>0</v>
      </c>
      <c r="R78" s="21">
        <v>0</v>
      </c>
      <c r="S78" s="17">
        <f t="shared" si="15"/>
        <v>0</v>
      </c>
      <c r="T78" s="17">
        <f t="shared" si="29"/>
        <v>0</v>
      </c>
      <c r="U78" s="18"/>
      <c r="V78" s="18"/>
      <c r="W78" s="18"/>
      <c r="X78" s="18"/>
      <c r="Y78" s="20">
        <f t="shared" si="13"/>
        <v>0</v>
      </c>
      <c r="Z78" s="20">
        <f t="shared" si="17"/>
        <v>0</v>
      </c>
      <c r="AA78" s="11"/>
      <c r="AB78" s="4"/>
      <c r="AC78" s="9">
        <f t="shared" si="14"/>
        <v>0</v>
      </c>
      <c r="AD78" s="9" t="e">
        <f>((#REF!*$AA$50)*$AB$50)</f>
        <v>#REF!</v>
      </c>
    </row>
    <row r="79" spans="1:32" x14ac:dyDescent="0.25">
      <c r="A79" s="56">
        <f>I31</f>
        <v>0</v>
      </c>
      <c r="B79" s="33">
        <f>M33</f>
        <v>0</v>
      </c>
      <c r="C79" s="15">
        <f>J33</f>
        <v>0</v>
      </c>
      <c r="D79" s="15">
        <f t="shared" si="27"/>
        <v>0</v>
      </c>
      <c r="E79" s="15">
        <f t="shared" si="27"/>
        <v>0</v>
      </c>
      <c r="F79" s="21"/>
      <c r="G79" s="21"/>
      <c r="H79" s="22"/>
      <c r="I79" s="16">
        <f>H78*$B$37</f>
        <v>0</v>
      </c>
      <c r="J79" s="21">
        <v>0</v>
      </c>
      <c r="K79" s="21"/>
      <c r="L79" s="70"/>
      <c r="M79" s="70">
        <v>0</v>
      </c>
      <c r="N79" s="70">
        <v>0</v>
      </c>
      <c r="O79" s="70">
        <f t="shared" si="28"/>
        <v>0</v>
      </c>
      <c r="P79" s="70"/>
      <c r="Q79" s="21">
        <v>0</v>
      </c>
      <c r="R79" s="21">
        <v>0</v>
      </c>
      <c r="S79" s="17">
        <f t="shared" si="15"/>
        <v>0</v>
      </c>
      <c r="T79" s="17">
        <f t="shared" si="29"/>
        <v>0</v>
      </c>
      <c r="U79" s="18"/>
      <c r="V79" s="18"/>
      <c r="W79" s="18"/>
      <c r="X79" s="18"/>
      <c r="Y79" s="20">
        <f t="shared" si="13"/>
        <v>0</v>
      </c>
      <c r="Z79" s="20">
        <f>SUM(AA79)</f>
        <v>0</v>
      </c>
      <c r="AA79" s="11"/>
      <c r="AB79" s="4"/>
      <c r="AC79" s="4"/>
      <c r="AD79" s="9" t="e">
        <f>((#REF!*$AA$50)*$AB$50)</f>
        <v>#REF!</v>
      </c>
    </row>
    <row r="80" spans="1:32" x14ac:dyDescent="0.25">
      <c r="A80" s="80"/>
      <c r="B80" s="57"/>
      <c r="C80" s="58"/>
      <c r="D80" s="58"/>
      <c r="E80" s="58"/>
      <c r="F80" s="59"/>
      <c r="G80" s="59"/>
      <c r="H80" s="60"/>
      <c r="I80" s="16">
        <f>H79*$B$37</f>
        <v>0</v>
      </c>
      <c r="J80" s="59"/>
      <c r="K80" s="21"/>
      <c r="L80" s="81"/>
      <c r="M80" s="81"/>
      <c r="N80" s="81"/>
      <c r="O80" s="81"/>
      <c r="P80" s="70"/>
      <c r="Q80" s="59"/>
      <c r="R80" s="59"/>
      <c r="S80" s="62">
        <f>SUM(S50:S79)</f>
        <v>0</v>
      </c>
      <c r="T80" s="17">
        <f>SUM(T50:T78)</f>
        <v>0</v>
      </c>
      <c r="U80" s="63"/>
      <c r="V80" s="63"/>
      <c r="W80" s="63"/>
      <c r="X80" s="63"/>
      <c r="Y80" s="20">
        <f t="shared" si="13"/>
        <v>0</v>
      </c>
      <c r="Z80" s="20">
        <f>SUM(Z51:Z79)</f>
        <v>0</v>
      </c>
      <c r="AA80" s="29"/>
      <c r="AB80" s="29"/>
      <c r="AC80" s="29"/>
      <c r="AD80" s="64"/>
    </row>
    <row r="81" spans="1:27" ht="15" customHeight="1" x14ac:dyDescent="0.25">
      <c r="I81" s="61"/>
      <c r="K81" s="21"/>
      <c r="P81" s="70"/>
      <c r="T81" s="17">
        <f t="shared" si="29"/>
        <v>0</v>
      </c>
      <c r="Y81" s="20">
        <f t="shared" si="13"/>
        <v>0</v>
      </c>
      <c r="Z81" s="20">
        <f t="shared" si="17"/>
        <v>0</v>
      </c>
      <c r="AA81" s="34" t="e">
        <f>#REF!-#REF!</f>
        <v>#REF!</v>
      </c>
    </row>
    <row r="82" spans="1:27" ht="17.25" customHeight="1" x14ac:dyDescent="0.25">
      <c r="A82" s="108"/>
      <c r="B82" s="108"/>
      <c r="K82" s="21"/>
      <c r="L82" s="95" t="s">
        <v>76</v>
      </c>
      <c r="M82" s="95"/>
      <c r="N82" s="71"/>
      <c r="O82" s="71"/>
      <c r="P82" s="70"/>
      <c r="Q82" s="100">
        <v>0</v>
      </c>
      <c r="R82" s="100"/>
      <c r="S82" s="100"/>
      <c r="T82" s="42"/>
      <c r="V82" s="30" t="s">
        <v>75</v>
      </c>
      <c r="W82" s="24">
        <v>86</v>
      </c>
      <c r="X82" s="24">
        <v>0</v>
      </c>
      <c r="Z82" s="20">
        <f t="shared" si="17"/>
        <v>0</v>
      </c>
    </row>
    <row r="83" spans="1:27" ht="21.75" customHeight="1" x14ac:dyDescent="0.25">
      <c r="A83" s="96" t="s">
        <v>70</v>
      </c>
      <c r="B83" s="97"/>
      <c r="C83" s="106">
        <v>90</v>
      </c>
      <c r="D83" s="107"/>
      <c r="K83" s="21"/>
      <c r="L83" s="109" t="s">
        <v>71</v>
      </c>
      <c r="M83" s="110"/>
      <c r="N83" s="77"/>
      <c r="O83" s="77"/>
      <c r="P83" s="70"/>
      <c r="Q83" s="101">
        <v>100</v>
      </c>
      <c r="R83" s="102"/>
      <c r="S83" s="103"/>
      <c r="T83" s="42"/>
      <c r="W83" s="24">
        <v>74</v>
      </c>
      <c r="X83" s="24">
        <v>-24</v>
      </c>
    </row>
    <row r="84" spans="1:27" ht="21.75" customHeight="1" x14ac:dyDescent="0.25">
      <c r="A84" s="99" t="s">
        <v>67</v>
      </c>
      <c r="B84" s="99"/>
      <c r="C84" s="98">
        <v>15</v>
      </c>
      <c r="D84" s="98"/>
      <c r="K84" s="21"/>
      <c r="L84" s="109" t="s">
        <v>72</v>
      </c>
      <c r="M84" s="110"/>
      <c r="N84" s="77"/>
      <c r="O84" s="77"/>
      <c r="P84" s="70"/>
      <c r="Q84" s="102">
        <f>2*14</f>
        <v>28</v>
      </c>
      <c r="R84" s="102"/>
      <c r="S84" s="103"/>
      <c r="T84" s="42"/>
      <c r="W84" s="24">
        <v>66</v>
      </c>
      <c r="X84" s="24">
        <v>-42</v>
      </c>
    </row>
    <row r="85" spans="1:27" ht="26.25" customHeight="1" x14ac:dyDescent="0.25">
      <c r="A85" s="99" t="s">
        <v>66</v>
      </c>
      <c r="B85" s="99"/>
      <c r="C85" s="98">
        <v>12</v>
      </c>
      <c r="D85" s="98"/>
      <c r="K85" s="21"/>
      <c r="L85" s="104" t="s">
        <v>73</v>
      </c>
      <c r="M85" s="105"/>
      <c r="N85" s="78"/>
      <c r="O85" s="78"/>
      <c r="P85" s="70"/>
      <c r="Q85" s="101">
        <v>10</v>
      </c>
      <c r="R85" s="102"/>
      <c r="S85" s="103"/>
      <c r="T85" s="42"/>
      <c r="W85" s="24">
        <v>54</v>
      </c>
      <c r="X85" s="24">
        <v>-64</v>
      </c>
    </row>
    <row r="86" spans="1:27" ht="24.75" customHeight="1" x14ac:dyDescent="0.25">
      <c r="A86" s="96" t="s">
        <v>68</v>
      </c>
      <c r="B86" s="97"/>
      <c r="C86" s="98">
        <v>65</v>
      </c>
      <c r="D86" s="98"/>
      <c r="K86" s="21"/>
      <c r="W86" s="24">
        <v>96</v>
      </c>
      <c r="X86" s="24">
        <v>10</v>
      </c>
    </row>
    <row r="87" spans="1:27" x14ac:dyDescent="0.25">
      <c r="K87" s="70">
        <v>0</v>
      </c>
      <c r="W87" s="24">
        <v>100</v>
      </c>
      <c r="X87" s="24">
        <v>28</v>
      </c>
    </row>
    <row r="88" spans="1:27" x14ac:dyDescent="0.25">
      <c r="A88" s="1"/>
      <c r="B88" s="1" t="s">
        <v>60</v>
      </c>
      <c r="C88" s="1"/>
      <c r="D88" s="1"/>
      <c r="E88" s="1"/>
      <c r="F88" s="1"/>
      <c r="K88" s="21"/>
      <c r="L88" s="95" t="s">
        <v>65</v>
      </c>
      <c r="M88" s="95"/>
      <c r="N88" s="71"/>
      <c r="O88" s="71"/>
      <c r="P88" s="71"/>
      <c r="Q88" s="1"/>
      <c r="R88" s="1"/>
      <c r="S88" s="1"/>
    </row>
    <row r="89" spans="1:27" x14ac:dyDescent="0.25">
      <c r="A89" s="1"/>
      <c r="B89" s="1"/>
      <c r="C89" s="1"/>
      <c r="D89" s="1"/>
      <c r="E89" s="1"/>
      <c r="F89" s="1"/>
      <c r="K89" s="21"/>
      <c r="L89" s="69"/>
      <c r="M89" s="69"/>
      <c r="N89" s="69"/>
      <c r="O89" s="69"/>
      <c r="P89" s="69"/>
      <c r="Q89" s="1"/>
      <c r="R89" s="1"/>
      <c r="S89" s="1"/>
      <c r="Y89" s="34"/>
      <c r="Z89" s="34"/>
    </row>
    <row r="90" spans="1:27" x14ac:dyDescent="0.25">
      <c r="A90" s="1" t="s">
        <v>29</v>
      </c>
      <c r="B90" s="1" t="s">
        <v>11</v>
      </c>
      <c r="C90" s="1" t="s">
        <v>61</v>
      </c>
      <c r="D90" s="1" t="s">
        <v>62</v>
      </c>
      <c r="E90" s="1" t="s">
        <v>63</v>
      </c>
      <c r="F90" s="1" t="s">
        <v>64</v>
      </c>
      <c r="K90" s="21"/>
      <c r="L90" s="67"/>
      <c r="M90" s="67" t="s">
        <v>0</v>
      </c>
      <c r="N90" s="67"/>
      <c r="O90" s="67"/>
      <c r="P90" s="67"/>
      <c r="Q90" s="4" t="s">
        <v>12</v>
      </c>
      <c r="R90" s="4"/>
      <c r="S90" s="4" t="s">
        <v>2</v>
      </c>
      <c r="T90" s="29"/>
    </row>
    <row r="91" spans="1:27" x14ac:dyDescent="0.25">
      <c r="A91" s="1"/>
      <c r="B91" s="1"/>
      <c r="C91" s="1"/>
      <c r="D91" s="1"/>
      <c r="E91" s="1"/>
      <c r="F91" s="1"/>
      <c r="K91" s="21"/>
      <c r="L91" s="69"/>
      <c r="M91" s="69"/>
      <c r="N91" s="69"/>
      <c r="O91" s="69"/>
      <c r="P91" s="69"/>
      <c r="Q91" s="1"/>
      <c r="R91" s="1"/>
      <c r="S91" s="1"/>
    </row>
    <row r="92" spans="1:27" x14ac:dyDescent="0.25">
      <c r="A92" s="23">
        <f t="shared" ref="A92:C94" si="30">A51</f>
        <v>0</v>
      </c>
      <c r="B92" s="24">
        <f t="shared" si="30"/>
        <v>0</v>
      </c>
      <c r="C92" s="24">
        <f t="shared" si="30"/>
        <v>0</v>
      </c>
      <c r="D92" s="24">
        <f>D51+24</f>
        <v>24</v>
      </c>
      <c r="E92" s="24">
        <f>SUM($C$83:$D$86)+40</f>
        <v>222</v>
      </c>
      <c r="F92" s="24">
        <v>30</v>
      </c>
      <c r="K92" s="21"/>
      <c r="L92" s="72">
        <f>A51</f>
        <v>0</v>
      </c>
      <c r="M92" s="73">
        <f>C51</f>
        <v>0</v>
      </c>
      <c r="N92" s="79"/>
      <c r="O92" s="79"/>
      <c r="P92" s="79"/>
      <c r="Q92">
        <f>(D51-(Q82+Q84))-Q85</f>
        <v>-38</v>
      </c>
      <c r="S92" s="24">
        <f>E51+$Q$83</f>
        <v>100</v>
      </c>
      <c r="T92" s="43"/>
    </row>
    <row r="93" spans="1:27" x14ac:dyDescent="0.25">
      <c r="A93" s="23">
        <f t="shared" si="30"/>
        <v>0</v>
      </c>
      <c r="B93" s="24">
        <f t="shared" si="30"/>
        <v>0</v>
      </c>
      <c r="C93" s="24">
        <f t="shared" si="30"/>
        <v>0</v>
      </c>
      <c r="D93" s="24">
        <f>D52+24</f>
        <v>24</v>
      </c>
      <c r="E93" s="24">
        <f t="shared" ref="E93:E103" si="31">SUM($C$83:$D$86)+40</f>
        <v>222</v>
      </c>
      <c r="F93" s="24">
        <v>30</v>
      </c>
      <c r="K93" s="59"/>
      <c r="L93" s="72">
        <f>A52</f>
        <v>0</v>
      </c>
      <c r="M93" s="73">
        <f>C52</f>
        <v>0</v>
      </c>
      <c r="N93" s="79"/>
      <c r="O93" s="79"/>
      <c r="P93" s="79"/>
      <c r="Q93">
        <f>(D52-(Q82+Q84))-Q85</f>
        <v>-38</v>
      </c>
      <c r="S93" s="24">
        <f>E52+$Q$83</f>
        <v>100</v>
      </c>
      <c r="T93" s="43"/>
    </row>
    <row r="94" spans="1:27" x14ac:dyDescent="0.25">
      <c r="A94" s="23">
        <f t="shared" si="30"/>
        <v>0</v>
      </c>
      <c r="B94" s="24">
        <f t="shared" si="30"/>
        <v>0</v>
      </c>
      <c r="C94" s="24">
        <f t="shared" si="30"/>
        <v>0</v>
      </c>
      <c r="D94" s="24">
        <f>D53+24</f>
        <v>24</v>
      </c>
      <c r="E94" s="24">
        <f t="shared" si="31"/>
        <v>222</v>
      </c>
      <c r="F94" s="24">
        <v>30</v>
      </c>
      <c r="L94" s="72">
        <f>A53</f>
        <v>0</v>
      </c>
      <c r="M94" s="73">
        <f>C53</f>
        <v>0</v>
      </c>
      <c r="N94" s="79"/>
      <c r="O94" s="79"/>
      <c r="P94" s="79"/>
      <c r="Q94">
        <f>(D53-(Q82+Q84))-Q85</f>
        <v>-38</v>
      </c>
      <c r="S94" s="24">
        <f>E53+$Q$83</f>
        <v>100</v>
      </c>
      <c r="T94" s="43"/>
    </row>
    <row r="95" spans="1:27" x14ac:dyDescent="0.25">
      <c r="A95" s="23">
        <f t="shared" ref="A95:C103" si="32">A55</f>
        <v>0</v>
      </c>
      <c r="B95" s="24">
        <f t="shared" si="32"/>
        <v>0</v>
      </c>
      <c r="C95" s="24">
        <f t="shared" si="32"/>
        <v>0</v>
      </c>
      <c r="D95" s="24">
        <f t="shared" ref="D95:D103" si="33">D55+24</f>
        <v>24</v>
      </c>
      <c r="E95" s="24">
        <f t="shared" si="31"/>
        <v>222</v>
      </c>
      <c r="F95" s="24">
        <v>30</v>
      </c>
      <c r="L95" s="72">
        <f t="shared" ref="L95:L102" si="34">A55</f>
        <v>0</v>
      </c>
      <c r="M95" s="73">
        <f t="shared" ref="M95:M103" si="35">C55</f>
        <v>0</v>
      </c>
      <c r="N95" s="79"/>
      <c r="O95" s="79"/>
      <c r="P95" s="79"/>
      <c r="Q95">
        <f>(D55-(Q82+Q84))-Q85</f>
        <v>-38</v>
      </c>
      <c r="S95" s="24">
        <f t="shared" ref="S95:S101" si="36">E55+$Q$83</f>
        <v>100</v>
      </c>
      <c r="T95" s="43"/>
    </row>
    <row r="96" spans="1:27" x14ac:dyDescent="0.25">
      <c r="A96" s="23">
        <f t="shared" si="32"/>
        <v>0</v>
      </c>
      <c r="B96" s="24">
        <f t="shared" si="32"/>
        <v>0</v>
      </c>
      <c r="C96" s="24">
        <f t="shared" si="32"/>
        <v>0</v>
      </c>
      <c r="D96" s="24">
        <f t="shared" si="33"/>
        <v>24</v>
      </c>
      <c r="E96" s="24">
        <f t="shared" si="31"/>
        <v>222</v>
      </c>
      <c r="F96" s="24">
        <v>30</v>
      </c>
      <c r="L96" s="72">
        <f t="shared" si="34"/>
        <v>0</v>
      </c>
      <c r="M96" s="73">
        <f t="shared" si="35"/>
        <v>0</v>
      </c>
      <c r="N96" s="79"/>
      <c r="O96" s="79"/>
      <c r="P96" s="79"/>
      <c r="Q96">
        <f>(D56-(Q82+Q84))-Q85</f>
        <v>-38</v>
      </c>
      <c r="S96" s="24">
        <f t="shared" si="36"/>
        <v>100</v>
      </c>
      <c r="T96" s="43"/>
    </row>
    <row r="97" spans="1:20" x14ac:dyDescent="0.25">
      <c r="A97" s="23">
        <f t="shared" si="32"/>
        <v>0</v>
      </c>
      <c r="B97" s="24">
        <f t="shared" si="32"/>
        <v>0</v>
      </c>
      <c r="C97" s="24">
        <f t="shared" si="32"/>
        <v>0</v>
      </c>
      <c r="D97" s="24">
        <f t="shared" si="33"/>
        <v>24</v>
      </c>
      <c r="E97" s="24">
        <f t="shared" si="31"/>
        <v>222</v>
      </c>
      <c r="F97" s="24">
        <v>30</v>
      </c>
      <c r="L97" s="72">
        <f t="shared" si="34"/>
        <v>0</v>
      </c>
      <c r="M97" s="73">
        <f t="shared" si="35"/>
        <v>0</v>
      </c>
      <c r="N97" s="79"/>
      <c r="O97" s="79"/>
      <c r="P97" s="79"/>
      <c r="Q97">
        <f>(D57-(Q82+Q84))-Q85</f>
        <v>-38</v>
      </c>
      <c r="S97" s="24">
        <f t="shared" si="36"/>
        <v>100</v>
      </c>
      <c r="T97" s="43"/>
    </row>
    <row r="98" spans="1:20" x14ac:dyDescent="0.25">
      <c r="A98" s="23">
        <f t="shared" si="32"/>
        <v>0</v>
      </c>
      <c r="B98" s="24">
        <f t="shared" si="32"/>
        <v>0</v>
      </c>
      <c r="C98" s="24">
        <f t="shared" si="32"/>
        <v>0</v>
      </c>
      <c r="D98" s="24">
        <f t="shared" si="33"/>
        <v>24</v>
      </c>
      <c r="E98" s="24">
        <f t="shared" si="31"/>
        <v>222</v>
      </c>
      <c r="F98" s="24">
        <v>30</v>
      </c>
      <c r="L98" s="72">
        <f t="shared" si="34"/>
        <v>0</v>
      </c>
      <c r="M98" s="73">
        <f t="shared" si="35"/>
        <v>0</v>
      </c>
      <c r="N98" s="79"/>
      <c r="O98" s="79"/>
      <c r="P98" s="79"/>
      <c r="Q98">
        <f>(D58-(Q82+Q84))-Q85</f>
        <v>-38</v>
      </c>
      <c r="S98" s="24">
        <f t="shared" si="36"/>
        <v>100</v>
      </c>
      <c r="T98" s="43"/>
    </row>
    <row r="99" spans="1:20" x14ac:dyDescent="0.25">
      <c r="A99" s="23">
        <f t="shared" si="32"/>
        <v>0</v>
      </c>
      <c r="B99" s="24">
        <f t="shared" si="32"/>
        <v>0</v>
      </c>
      <c r="C99" s="24">
        <f t="shared" si="32"/>
        <v>0</v>
      </c>
      <c r="D99" s="24">
        <f t="shared" si="33"/>
        <v>24</v>
      </c>
      <c r="E99" s="24">
        <f t="shared" si="31"/>
        <v>222</v>
      </c>
      <c r="F99" s="24">
        <v>30</v>
      </c>
      <c r="L99" s="72">
        <f t="shared" si="34"/>
        <v>0</v>
      </c>
      <c r="M99" s="73">
        <f t="shared" si="35"/>
        <v>0</v>
      </c>
      <c r="N99" s="79"/>
      <c r="O99" s="79"/>
      <c r="P99" s="79"/>
      <c r="Q99">
        <f>(D59-(Q82+Q84))-Q85</f>
        <v>-38</v>
      </c>
      <c r="S99" s="24">
        <f t="shared" si="36"/>
        <v>100</v>
      </c>
      <c r="T99" s="43"/>
    </row>
    <row r="100" spans="1:20" x14ac:dyDescent="0.25">
      <c r="A100" s="23">
        <f t="shared" si="32"/>
        <v>0</v>
      </c>
      <c r="B100" s="24">
        <f t="shared" si="32"/>
        <v>0</v>
      </c>
      <c r="C100" s="24">
        <f t="shared" si="32"/>
        <v>0</v>
      </c>
      <c r="D100" s="24">
        <f t="shared" si="33"/>
        <v>24</v>
      </c>
      <c r="E100" s="24">
        <f t="shared" si="31"/>
        <v>222</v>
      </c>
      <c r="F100" s="24">
        <v>30</v>
      </c>
      <c r="L100" s="72">
        <f t="shared" si="34"/>
        <v>0</v>
      </c>
      <c r="M100" s="73">
        <f t="shared" si="35"/>
        <v>0</v>
      </c>
      <c r="N100" s="79"/>
      <c r="O100" s="79"/>
      <c r="P100" s="79"/>
      <c r="Q100">
        <f>(D60-(Q82+Q84))-Q85</f>
        <v>-38</v>
      </c>
      <c r="S100" s="24">
        <f t="shared" si="36"/>
        <v>100</v>
      </c>
      <c r="T100" s="43"/>
    </row>
    <row r="101" spans="1:20" x14ac:dyDescent="0.25">
      <c r="A101" s="23">
        <f t="shared" si="32"/>
        <v>0</v>
      </c>
      <c r="B101" s="24">
        <f t="shared" si="32"/>
        <v>0</v>
      </c>
      <c r="C101" s="24">
        <f t="shared" si="32"/>
        <v>0</v>
      </c>
      <c r="D101" s="24">
        <f t="shared" si="33"/>
        <v>24</v>
      </c>
      <c r="E101" s="24">
        <f t="shared" si="31"/>
        <v>222</v>
      </c>
      <c r="F101" s="24">
        <v>30</v>
      </c>
      <c r="L101" s="72">
        <f t="shared" si="34"/>
        <v>0</v>
      </c>
      <c r="M101" s="73">
        <f t="shared" si="35"/>
        <v>0</v>
      </c>
      <c r="N101" s="79"/>
      <c r="O101" s="79"/>
      <c r="P101" s="79"/>
      <c r="Q101">
        <f>(D61-(Q82+Q84))-Q85</f>
        <v>-38</v>
      </c>
      <c r="S101" s="24">
        <f t="shared" si="36"/>
        <v>100</v>
      </c>
      <c r="T101" s="43"/>
    </row>
    <row r="102" spans="1:20" x14ac:dyDescent="0.25">
      <c r="A102" s="23">
        <f t="shared" si="32"/>
        <v>0</v>
      </c>
      <c r="B102" s="24">
        <f t="shared" si="32"/>
        <v>0</v>
      </c>
      <c r="C102" s="24">
        <f t="shared" si="32"/>
        <v>0</v>
      </c>
      <c r="D102" s="24">
        <f t="shared" si="33"/>
        <v>24</v>
      </c>
      <c r="E102" s="24">
        <f t="shared" si="31"/>
        <v>222</v>
      </c>
      <c r="F102" s="24">
        <v>30</v>
      </c>
      <c r="L102" s="72">
        <f t="shared" si="34"/>
        <v>0</v>
      </c>
      <c r="M102" s="73">
        <f t="shared" si="35"/>
        <v>0</v>
      </c>
      <c r="N102" s="79"/>
      <c r="O102" s="79"/>
      <c r="P102" s="79"/>
      <c r="Q102">
        <v>0</v>
      </c>
      <c r="S102" s="24">
        <v>0</v>
      </c>
      <c r="T102" s="43"/>
    </row>
    <row r="103" spans="1:20" x14ac:dyDescent="0.25">
      <c r="A103" s="23">
        <f t="shared" si="32"/>
        <v>0</v>
      </c>
      <c r="B103" s="24">
        <f t="shared" si="32"/>
        <v>0</v>
      </c>
      <c r="C103" s="24">
        <f t="shared" si="32"/>
        <v>0</v>
      </c>
      <c r="D103" s="24">
        <f t="shared" si="33"/>
        <v>24</v>
      </c>
      <c r="E103" s="24">
        <f t="shared" si="31"/>
        <v>222</v>
      </c>
      <c r="F103" s="24">
        <v>30</v>
      </c>
      <c r="L103" s="72">
        <v>0</v>
      </c>
      <c r="M103" s="73">
        <f t="shared" si="35"/>
        <v>0</v>
      </c>
      <c r="N103" s="79"/>
      <c r="O103" s="79"/>
      <c r="P103" s="79"/>
      <c r="S103" s="24">
        <v>0</v>
      </c>
      <c r="T103" s="43"/>
    </row>
    <row r="104" spans="1:20" x14ac:dyDescent="0.25">
      <c r="A104" t="e">
        <f>#REF!</f>
        <v>#REF!</v>
      </c>
      <c r="B104" t="e">
        <f>#REF!</f>
        <v>#REF!</v>
      </c>
      <c r="C104" t="e">
        <f>#REF!</f>
        <v>#REF!</v>
      </c>
      <c r="M104" s="73">
        <v>0</v>
      </c>
      <c r="N104" s="79"/>
      <c r="O104" s="79"/>
      <c r="P104" s="79"/>
    </row>
  </sheetData>
  <mergeCells count="33">
    <mergeCell ref="Q82:S82"/>
    <mergeCell ref="Q85:S85"/>
    <mergeCell ref="L85:M85"/>
    <mergeCell ref="A84:B84"/>
    <mergeCell ref="C84:D84"/>
    <mergeCell ref="A83:B83"/>
    <mergeCell ref="C83:D83"/>
    <mergeCell ref="A82:B82"/>
    <mergeCell ref="L82:M82"/>
    <mergeCell ref="L83:M83"/>
    <mergeCell ref="Q83:S83"/>
    <mergeCell ref="L84:M84"/>
    <mergeCell ref="Q84:S84"/>
    <mergeCell ref="L88:M88"/>
    <mergeCell ref="A86:B86"/>
    <mergeCell ref="C86:D86"/>
    <mergeCell ref="A85:B85"/>
    <mergeCell ref="C85:D85"/>
    <mergeCell ref="C42:D42"/>
    <mergeCell ref="C43:D43"/>
    <mergeCell ref="C44:D44"/>
    <mergeCell ref="A2:B2"/>
    <mergeCell ref="A3:B3"/>
    <mergeCell ref="A4:B4"/>
    <mergeCell ref="C4:E4"/>
    <mergeCell ref="C3:E3"/>
    <mergeCell ref="C2:E2"/>
    <mergeCell ref="C38:D38"/>
    <mergeCell ref="A5:B5"/>
    <mergeCell ref="C5:E5"/>
    <mergeCell ref="C39:D39"/>
    <mergeCell ref="C41:D41"/>
    <mergeCell ref="C40:D40"/>
  </mergeCells>
  <phoneticPr fontId="5" type="noConversion"/>
  <dataValidations count="5">
    <dataValidation type="list" allowBlank="1" showInputMessage="1" showErrorMessage="1" sqref="A36" xr:uid="{F73C85D4-D694-4CA6-A72E-AB45B7319590}">
      <formula1>Fenster</formula1>
    </dataValidation>
    <dataValidation type="list" allowBlank="1" showInputMessage="1" showErrorMessage="1" sqref="Q50:R50" xr:uid="{27C989CF-8201-493A-B399-365B0FF6363D}">
      <formula1>Zubehör_beschreibung</formula1>
    </dataValidation>
    <dataValidation type="list" allowBlank="1" showInputMessage="1" showErrorMessage="1" sqref="Q49:R49" xr:uid="{2AF887A6-D872-4D1A-B497-09A2ADCD1E70}">
      <formula1>zubehörteile</formula1>
    </dataValidation>
    <dataValidation type="list" allowBlank="1" showInputMessage="1" showErrorMessage="1" sqref="Q82:R82" xr:uid="{D8D06E9E-5CA0-46BC-866D-50CF0B25E742}">
      <formula1>Aluschale</formula1>
    </dataValidation>
    <dataValidation type="list" allowBlank="1" showInputMessage="1" showErrorMessage="1" sqref="F51:F80" xr:uid="{F6AE9FA9-0C0E-4CC6-8D8A-81036E4E8A40}">
      <formula1>Holzart</formula1>
    </dataValidation>
  </dataValidations>
  <pageMargins left="0.70866141732283472" right="0.70866141732283472" top="0.78740157480314965" bottom="0.78740157480314965" header="0.31496062992125984" footer="0.31496062992125984"/>
  <pageSetup paperSize="9" scale="3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2379D97-CA20-4AF7-916A-742802EC31CE}">
          <x14:formula1>
            <xm:f>Tabelle2!$I$3:$I$20</xm:f>
          </x14:formula1>
          <xm:sqref>I49 K49:P49</xm:sqref>
        </x14:dataValidation>
        <x14:dataValidation type="list" allowBlank="1" showInputMessage="1" showErrorMessage="1" xr:uid="{B172CBBF-A6CA-47A4-98F8-4162230FE492}">
          <x14:formula1>
            <xm:f>Tabelle2!$E$3:$E$4</xm:f>
          </x14:formula1>
          <xm:sqref>J49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B19F-BD37-4D59-ADF4-BD68083ABE1A}">
  <dimension ref="B10:O38"/>
  <sheetViews>
    <sheetView topLeftCell="B1" workbookViewId="0">
      <selection activeCell="O10" sqref="O10"/>
    </sheetView>
  </sheetViews>
  <sheetFormatPr baseColWidth="10" defaultRowHeight="15" x14ac:dyDescent="0.25"/>
  <cols>
    <col min="3" max="3" width="30.85546875" customWidth="1"/>
    <col min="7" max="8" width="17.42578125" customWidth="1"/>
    <col min="9" max="10" width="20.28515625" customWidth="1"/>
    <col min="11" max="11" width="29.5703125" bestFit="1" customWidth="1"/>
    <col min="12" max="12" width="13.7109375" customWidth="1"/>
    <col min="13" max="14" width="15.42578125" customWidth="1"/>
    <col min="15" max="15" width="29.85546875" customWidth="1"/>
  </cols>
  <sheetData>
    <row r="10" spans="2:15" x14ac:dyDescent="0.25">
      <c r="O10" s="4" t="s">
        <v>90</v>
      </c>
    </row>
    <row r="11" spans="2:15" x14ac:dyDescent="0.25">
      <c r="B11" s="49" t="str">
        <f>Tabelle1!A49</f>
        <v>Pos:</v>
      </c>
      <c r="C11" s="49" t="str">
        <f>Tabelle1!B49</f>
        <v>Beschreibung</v>
      </c>
      <c r="D11" s="49" t="str">
        <f>Tabelle1!C49</f>
        <v>Stk</v>
      </c>
      <c r="E11" s="49" t="str">
        <f>Tabelle1!D49</f>
        <v>Breite</v>
      </c>
      <c r="F11" s="49" t="str">
        <f>Tabelle1!E49</f>
        <v>Höhe</v>
      </c>
      <c r="G11" s="49" t="s">
        <v>88</v>
      </c>
      <c r="H11" s="49" t="s">
        <v>89</v>
      </c>
      <c r="I11" s="49" t="str">
        <f>Tabelle1!Y49</f>
        <v>Selbstkosten einzeln:</v>
      </c>
      <c r="J11" s="49" t="s">
        <v>87</v>
      </c>
      <c r="K11" s="49" t="str">
        <f>Tabelle1!Z49</f>
        <v>Selbstkosten Gesamt</v>
      </c>
      <c r="L11" s="49" t="e">
        <f>Tabelle1!#REF!</f>
        <v>#REF!</v>
      </c>
      <c r="M11" s="49" t="e">
        <f>Tabelle1!#REF!</f>
        <v>#REF!</v>
      </c>
      <c r="N11" s="49" t="s">
        <v>91</v>
      </c>
      <c r="O11" s="49" t="s">
        <v>92</v>
      </c>
    </row>
    <row r="12" spans="2:15" x14ac:dyDescent="0.25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</row>
    <row r="13" spans="2:15" x14ac:dyDescent="0.25">
      <c r="B13" s="44">
        <f>Tabelle1!A51</f>
        <v>0</v>
      </c>
      <c r="C13" s="44">
        <f>Tabelle1!B51</f>
        <v>0</v>
      </c>
      <c r="D13" s="46">
        <f>Tabelle1!C51</f>
        <v>0</v>
      </c>
      <c r="E13" s="46">
        <f>Tabelle1!D51</f>
        <v>0</v>
      </c>
      <c r="F13" s="46">
        <f>Tabelle1!E51</f>
        <v>0</v>
      </c>
      <c r="G13" s="50">
        <f>Tabelle1!S51</f>
        <v>0</v>
      </c>
      <c r="H13" s="50">
        <f>Tabelle1!T51</f>
        <v>0</v>
      </c>
      <c r="I13" s="45">
        <f>Tabelle1!Y51</f>
        <v>0</v>
      </c>
      <c r="J13" s="52" t="e">
        <f>Tabelle1!#REF!</f>
        <v>#REF!</v>
      </c>
      <c r="K13" s="47" t="e">
        <f>Tabelle1!#REF!</f>
        <v>#REF!</v>
      </c>
      <c r="L13" s="51" t="e">
        <f>Tabelle1!#REF!</f>
        <v>#REF!</v>
      </c>
      <c r="M13" s="48" t="e">
        <f>Tabelle1!#REF!</f>
        <v>#REF!</v>
      </c>
      <c r="N13" s="48">
        <f>Tabelle1!AC51</f>
        <v>0</v>
      </c>
      <c r="O13" s="53" t="e">
        <f>Tabelle1!AD51</f>
        <v>#REF!</v>
      </c>
    </row>
    <row r="14" spans="2:15" x14ac:dyDescent="0.25">
      <c r="B14" s="44">
        <f>Tabelle1!A52</f>
        <v>0</v>
      </c>
      <c r="C14" s="44">
        <f>Tabelle1!B52</f>
        <v>0</v>
      </c>
      <c r="D14" s="46">
        <f>Tabelle1!C52</f>
        <v>0</v>
      </c>
      <c r="E14" s="46">
        <f>Tabelle1!D52</f>
        <v>0</v>
      </c>
      <c r="F14" s="46">
        <f>Tabelle1!E52</f>
        <v>0</v>
      </c>
      <c r="G14" s="50">
        <f>Tabelle1!S52</f>
        <v>0</v>
      </c>
      <c r="H14" s="50">
        <f>Tabelle1!T52</f>
        <v>0</v>
      </c>
      <c r="I14" s="45">
        <f>Tabelle1!Y52</f>
        <v>0</v>
      </c>
      <c r="J14" s="52" t="e">
        <f>Tabelle1!#REF!</f>
        <v>#REF!</v>
      </c>
      <c r="K14" s="47">
        <f>Tabelle1!Z51</f>
        <v>0</v>
      </c>
      <c r="L14" s="51" t="e">
        <f>Tabelle1!#REF!</f>
        <v>#REF!</v>
      </c>
      <c r="M14" s="48" t="e">
        <f>Tabelle1!#REF!</f>
        <v>#REF!</v>
      </c>
      <c r="N14" s="48">
        <f>Tabelle1!AC52</f>
        <v>0</v>
      </c>
      <c r="O14" s="53" t="e">
        <f>Tabelle1!AD52</f>
        <v>#REF!</v>
      </c>
    </row>
    <row r="15" spans="2:15" x14ac:dyDescent="0.25">
      <c r="B15" s="44">
        <f>Tabelle1!A53</f>
        <v>0</v>
      </c>
      <c r="C15" s="44">
        <f>Tabelle1!B53</f>
        <v>0</v>
      </c>
      <c r="D15" s="46">
        <f>Tabelle1!C53</f>
        <v>0</v>
      </c>
      <c r="E15" s="46">
        <f>Tabelle1!D53</f>
        <v>0</v>
      </c>
      <c r="F15" s="46">
        <f>Tabelle1!E53</f>
        <v>0</v>
      </c>
      <c r="G15" s="50">
        <f>Tabelle1!S53</f>
        <v>0</v>
      </c>
      <c r="H15" s="50">
        <f>Tabelle1!T53</f>
        <v>0</v>
      </c>
      <c r="I15" s="45">
        <f>Tabelle1!Y53</f>
        <v>0</v>
      </c>
      <c r="J15" s="52" t="e">
        <f>Tabelle1!#REF!</f>
        <v>#REF!</v>
      </c>
      <c r="K15" s="47">
        <f>Tabelle1!Z53</f>
        <v>0</v>
      </c>
      <c r="L15" s="51" t="e">
        <f>Tabelle1!#REF!</f>
        <v>#REF!</v>
      </c>
      <c r="M15" s="48" t="e">
        <f>Tabelle1!#REF!</f>
        <v>#REF!</v>
      </c>
      <c r="N15" s="48">
        <f>Tabelle1!AC53</f>
        <v>0</v>
      </c>
      <c r="O15" s="53" t="e">
        <f>Tabelle1!AD53</f>
        <v>#REF!</v>
      </c>
    </row>
    <row r="16" spans="2:15" x14ac:dyDescent="0.25">
      <c r="B16" s="44">
        <f>Tabelle1!A54</f>
        <v>0</v>
      </c>
      <c r="C16" s="44">
        <f>Tabelle1!B54</f>
        <v>0</v>
      </c>
      <c r="D16" s="46">
        <f>Tabelle1!C54</f>
        <v>0</v>
      </c>
      <c r="E16" s="46">
        <f>Tabelle1!D54</f>
        <v>0</v>
      </c>
      <c r="F16" s="46">
        <f>Tabelle1!E54</f>
        <v>0</v>
      </c>
      <c r="G16" s="50"/>
      <c r="H16" s="50"/>
      <c r="I16" s="45">
        <f>Tabelle1!Y54</f>
        <v>0</v>
      </c>
      <c r="J16" s="52" t="e">
        <f>Tabelle1!#REF!</f>
        <v>#REF!</v>
      </c>
      <c r="K16" s="47">
        <f>Tabelle1!Z54</f>
        <v>0</v>
      </c>
      <c r="L16" s="51" t="e">
        <f>Tabelle1!#REF!</f>
        <v>#REF!</v>
      </c>
      <c r="M16" s="48" t="e">
        <f>Tabelle1!#REF!</f>
        <v>#REF!</v>
      </c>
      <c r="N16" s="48">
        <f>Tabelle1!AC54</f>
        <v>0</v>
      </c>
      <c r="O16" s="53" t="e">
        <f>Tabelle1!AD54</f>
        <v>#REF!</v>
      </c>
    </row>
    <row r="17" spans="2:15" x14ac:dyDescent="0.25">
      <c r="B17" s="44">
        <f>Tabelle1!A55</f>
        <v>0</v>
      </c>
      <c r="C17" s="44">
        <f>Tabelle1!B55</f>
        <v>0</v>
      </c>
      <c r="D17" s="46">
        <f>Tabelle1!C55</f>
        <v>0</v>
      </c>
      <c r="E17" s="46">
        <f>Tabelle1!D55</f>
        <v>0</v>
      </c>
      <c r="F17" s="46">
        <f>Tabelle1!E55</f>
        <v>0</v>
      </c>
      <c r="G17" s="50">
        <f>Tabelle1!S55</f>
        <v>0</v>
      </c>
      <c r="H17" s="50">
        <f>Tabelle1!T55</f>
        <v>0</v>
      </c>
      <c r="I17" s="45">
        <f>Tabelle1!Y55</f>
        <v>0</v>
      </c>
      <c r="J17" s="52" t="e">
        <f>Tabelle1!#REF!</f>
        <v>#REF!</v>
      </c>
      <c r="K17" s="47">
        <f>Tabelle1!Z55</f>
        <v>0</v>
      </c>
      <c r="L17" s="51" t="e">
        <f>Tabelle1!#REF!</f>
        <v>#REF!</v>
      </c>
      <c r="M17" s="48" t="e">
        <f>Tabelle1!#REF!</f>
        <v>#REF!</v>
      </c>
      <c r="N17" s="48">
        <f>Tabelle1!AC55</f>
        <v>0</v>
      </c>
      <c r="O17" s="53" t="e">
        <f>Tabelle1!AD55</f>
        <v>#REF!</v>
      </c>
    </row>
    <row r="18" spans="2:15" x14ac:dyDescent="0.25">
      <c r="B18" s="44">
        <f>Tabelle1!A56</f>
        <v>0</v>
      </c>
      <c r="C18" s="44">
        <f>Tabelle1!B56</f>
        <v>0</v>
      </c>
      <c r="D18" s="46">
        <f>Tabelle1!C56</f>
        <v>0</v>
      </c>
      <c r="E18" s="46">
        <f>Tabelle1!D56</f>
        <v>0</v>
      </c>
      <c r="F18" s="46">
        <f>Tabelle1!E56</f>
        <v>0</v>
      </c>
      <c r="G18" s="50">
        <f>Tabelle1!S56</f>
        <v>0</v>
      </c>
      <c r="H18" s="50">
        <f>Tabelle1!T56</f>
        <v>0</v>
      </c>
      <c r="I18" s="45">
        <f>Tabelle1!Y56</f>
        <v>0</v>
      </c>
      <c r="J18" s="52" t="e">
        <f>Tabelle1!#REF!</f>
        <v>#REF!</v>
      </c>
      <c r="K18" s="47">
        <f>Tabelle1!Z56</f>
        <v>0</v>
      </c>
      <c r="L18" s="51" t="e">
        <f>Tabelle1!#REF!</f>
        <v>#REF!</v>
      </c>
      <c r="M18" s="48" t="e">
        <f>Tabelle1!#REF!</f>
        <v>#REF!</v>
      </c>
      <c r="N18" s="48">
        <f>Tabelle1!AC56</f>
        <v>0</v>
      </c>
      <c r="O18" s="53" t="e">
        <f>Tabelle1!AD56</f>
        <v>#REF!</v>
      </c>
    </row>
    <row r="19" spans="2:15" x14ac:dyDescent="0.25">
      <c r="B19" s="44">
        <f>Tabelle1!A57</f>
        <v>0</v>
      </c>
      <c r="C19" s="44">
        <f>Tabelle1!B57</f>
        <v>0</v>
      </c>
      <c r="D19" s="46">
        <f>Tabelle1!C57</f>
        <v>0</v>
      </c>
      <c r="E19" s="46">
        <f>Tabelle1!D57</f>
        <v>0</v>
      </c>
      <c r="F19" s="46">
        <f>Tabelle1!E57</f>
        <v>0</v>
      </c>
      <c r="G19" s="50">
        <f>Tabelle1!S57</f>
        <v>0</v>
      </c>
      <c r="H19" s="50">
        <f>Tabelle1!T57</f>
        <v>0</v>
      </c>
      <c r="I19" s="45">
        <f>Tabelle1!Y57</f>
        <v>0</v>
      </c>
      <c r="J19" s="52" t="e">
        <f>Tabelle1!#REF!</f>
        <v>#REF!</v>
      </c>
      <c r="K19" s="47">
        <f>Tabelle1!Z57</f>
        <v>0</v>
      </c>
      <c r="L19" s="51" t="e">
        <f>Tabelle1!#REF!</f>
        <v>#REF!</v>
      </c>
      <c r="M19" s="48" t="e">
        <f>Tabelle1!#REF!</f>
        <v>#REF!</v>
      </c>
      <c r="N19" s="48">
        <f>Tabelle1!AC57</f>
        <v>0</v>
      </c>
      <c r="O19" s="53" t="e">
        <f>Tabelle1!AD57</f>
        <v>#REF!</v>
      </c>
    </row>
    <row r="20" spans="2:15" x14ac:dyDescent="0.25">
      <c r="B20" s="44">
        <f>Tabelle1!A58</f>
        <v>0</v>
      </c>
      <c r="C20" s="44">
        <f>Tabelle1!B58</f>
        <v>0</v>
      </c>
      <c r="D20" s="46">
        <f>Tabelle1!C58</f>
        <v>0</v>
      </c>
      <c r="E20" s="46">
        <f>Tabelle1!D58</f>
        <v>0</v>
      </c>
      <c r="F20" s="46">
        <f>Tabelle1!E58</f>
        <v>0</v>
      </c>
      <c r="G20" s="50"/>
      <c r="H20" s="50"/>
      <c r="I20" s="45">
        <f>Tabelle1!Y58</f>
        <v>0</v>
      </c>
      <c r="J20" s="52" t="e">
        <f>Tabelle1!#REF!</f>
        <v>#REF!</v>
      </c>
      <c r="K20" s="47">
        <f>Tabelle1!Z58</f>
        <v>0</v>
      </c>
      <c r="L20" s="51" t="e">
        <f>Tabelle1!#REF!</f>
        <v>#REF!</v>
      </c>
      <c r="M20" s="48" t="e">
        <f>Tabelle1!#REF!</f>
        <v>#REF!</v>
      </c>
      <c r="N20" s="48">
        <f>Tabelle1!AC58</f>
        <v>0</v>
      </c>
      <c r="O20" s="53" t="e">
        <f>Tabelle1!AD58</f>
        <v>#REF!</v>
      </c>
    </row>
    <row r="21" spans="2:15" x14ac:dyDescent="0.25">
      <c r="B21" s="44">
        <f>Tabelle1!A59</f>
        <v>0</v>
      </c>
      <c r="C21" s="44">
        <f>Tabelle1!B59</f>
        <v>0</v>
      </c>
      <c r="D21" s="46">
        <f>Tabelle1!C59</f>
        <v>0</v>
      </c>
      <c r="E21" s="46">
        <f>Tabelle1!D59</f>
        <v>0</v>
      </c>
      <c r="F21" s="46">
        <f>Tabelle1!E59</f>
        <v>0</v>
      </c>
      <c r="G21" s="50"/>
      <c r="H21" s="50"/>
      <c r="I21" s="45">
        <f>Tabelle1!Y59</f>
        <v>0</v>
      </c>
      <c r="J21" s="52" t="e">
        <f>Tabelle1!#REF!</f>
        <v>#REF!</v>
      </c>
      <c r="K21" s="47">
        <f>Tabelle1!Z59</f>
        <v>0</v>
      </c>
      <c r="L21" s="51" t="e">
        <f>Tabelle1!#REF!</f>
        <v>#REF!</v>
      </c>
      <c r="M21" s="48" t="e">
        <f>Tabelle1!#REF!</f>
        <v>#REF!</v>
      </c>
      <c r="N21" s="48">
        <f>Tabelle1!AC59</f>
        <v>0</v>
      </c>
      <c r="O21" s="53" t="e">
        <f>Tabelle1!AD59</f>
        <v>#REF!</v>
      </c>
    </row>
    <row r="22" spans="2:15" x14ac:dyDescent="0.25">
      <c r="B22" s="44">
        <f>Tabelle1!A60</f>
        <v>0</v>
      </c>
      <c r="C22" s="44">
        <f>Tabelle1!B60</f>
        <v>0</v>
      </c>
      <c r="D22" s="46">
        <f>Tabelle1!C60</f>
        <v>0</v>
      </c>
      <c r="E22" s="46">
        <f>Tabelle1!D60</f>
        <v>0</v>
      </c>
      <c r="F22" s="46">
        <f>Tabelle1!E60</f>
        <v>0</v>
      </c>
      <c r="G22" s="50">
        <f>Tabelle1!S60</f>
        <v>0</v>
      </c>
      <c r="H22" s="50">
        <f>Tabelle1!T60</f>
        <v>0</v>
      </c>
      <c r="I22" s="45">
        <f>Tabelle1!Y60</f>
        <v>0</v>
      </c>
      <c r="J22" s="52" t="e">
        <f>Tabelle1!#REF!</f>
        <v>#REF!</v>
      </c>
      <c r="K22" s="47">
        <f>Tabelle1!Z60</f>
        <v>0</v>
      </c>
      <c r="L22" s="51" t="e">
        <f>Tabelle1!#REF!</f>
        <v>#REF!</v>
      </c>
      <c r="M22" s="48" t="e">
        <f>Tabelle1!#REF!</f>
        <v>#REF!</v>
      </c>
      <c r="N22" s="48">
        <f>Tabelle1!AC60</f>
        <v>0</v>
      </c>
      <c r="O22" s="53" t="e">
        <f>Tabelle1!AD60</f>
        <v>#REF!</v>
      </c>
    </row>
    <row r="23" spans="2:15" x14ac:dyDescent="0.25">
      <c r="B23" s="44">
        <f>Tabelle1!A61</f>
        <v>0</v>
      </c>
      <c r="C23" s="44">
        <f>Tabelle1!B61</f>
        <v>0</v>
      </c>
      <c r="D23" s="46">
        <f>Tabelle1!C61</f>
        <v>0</v>
      </c>
      <c r="E23" s="46">
        <f>Tabelle1!D61</f>
        <v>0</v>
      </c>
      <c r="F23" s="46">
        <f>Tabelle1!E61</f>
        <v>0</v>
      </c>
      <c r="G23" s="50"/>
      <c r="H23" s="50"/>
      <c r="I23" s="45">
        <f>Tabelle1!Y61</f>
        <v>0</v>
      </c>
      <c r="J23" s="52" t="e">
        <f>Tabelle1!#REF!</f>
        <v>#REF!</v>
      </c>
      <c r="K23" s="47">
        <f>Tabelle1!Z61</f>
        <v>0</v>
      </c>
      <c r="L23" s="51" t="e">
        <f>Tabelle1!#REF!</f>
        <v>#REF!</v>
      </c>
      <c r="M23" s="48" t="e">
        <f>Tabelle1!#REF!</f>
        <v>#REF!</v>
      </c>
      <c r="N23" s="48">
        <f>Tabelle1!AC61</f>
        <v>0</v>
      </c>
      <c r="O23" s="53" t="e">
        <f>Tabelle1!AD61</f>
        <v>#REF!</v>
      </c>
    </row>
    <row r="24" spans="2:15" x14ac:dyDescent="0.25">
      <c r="B24" s="44">
        <f>Tabelle1!A62</f>
        <v>0</v>
      </c>
      <c r="C24" s="44">
        <f>Tabelle1!B62</f>
        <v>0</v>
      </c>
      <c r="D24" s="46">
        <f>Tabelle1!C62</f>
        <v>0</v>
      </c>
      <c r="E24" s="46">
        <f>Tabelle1!D62</f>
        <v>0</v>
      </c>
      <c r="F24" s="46">
        <f>Tabelle1!E62</f>
        <v>0</v>
      </c>
      <c r="G24" s="50">
        <f>Tabelle1!S62</f>
        <v>0</v>
      </c>
      <c r="H24" s="50">
        <f>Tabelle1!T62</f>
        <v>0</v>
      </c>
      <c r="I24" s="45">
        <f>Tabelle1!Y62</f>
        <v>0</v>
      </c>
      <c r="J24" s="52" t="e">
        <f>Tabelle1!#REF!</f>
        <v>#REF!</v>
      </c>
      <c r="K24" s="47">
        <f>Tabelle1!Z62</f>
        <v>0</v>
      </c>
      <c r="L24" s="51" t="e">
        <f>Tabelle1!#REF!</f>
        <v>#REF!</v>
      </c>
      <c r="M24" s="48" t="e">
        <f>Tabelle1!#REF!</f>
        <v>#REF!</v>
      </c>
      <c r="N24" s="48">
        <f>Tabelle1!AC62</f>
        <v>0</v>
      </c>
      <c r="O24" s="53" t="e">
        <f>Tabelle1!AD62</f>
        <v>#REF!</v>
      </c>
    </row>
    <row r="25" spans="2:15" x14ac:dyDescent="0.25">
      <c r="B25" s="44">
        <f>Tabelle1!A63</f>
        <v>0</v>
      </c>
      <c r="C25" s="44">
        <f>Tabelle1!B63</f>
        <v>0</v>
      </c>
      <c r="D25" s="46">
        <f>Tabelle1!C63</f>
        <v>0</v>
      </c>
      <c r="E25" s="46">
        <f>Tabelle1!D63</f>
        <v>0</v>
      </c>
      <c r="F25" s="46">
        <f>Tabelle1!E63</f>
        <v>0</v>
      </c>
      <c r="G25" s="50">
        <f>Tabelle1!S63</f>
        <v>0</v>
      </c>
      <c r="H25" s="50">
        <f>Tabelle1!T63</f>
        <v>0</v>
      </c>
      <c r="I25" s="45">
        <f>Tabelle1!Y63</f>
        <v>0</v>
      </c>
      <c r="J25" s="52" t="e">
        <f>Tabelle1!#REF!</f>
        <v>#REF!</v>
      </c>
      <c r="K25" s="47">
        <f>Tabelle1!Z63</f>
        <v>0</v>
      </c>
      <c r="L25" s="51" t="e">
        <f>Tabelle1!#REF!</f>
        <v>#REF!</v>
      </c>
      <c r="M25" s="48" t="e">
        <f>Tabelle1!#REF!</f>
        <v>#REF!</v>
      </c>
      <c r="N25" s="48">
        <f>Tabelle1!AC63</f>
        <v>0</v>
      </c>
      <c r="O25" s="53" t="e">
        <f>Tabelle1!AD63</f>
        <v>#REF!</v>
      </c>
    </row>
    <row r="26" spans="2:15" x14ac:dyDescent="0.25">
      <c r="B26" s="44">
        <f>Tabelle1!A64</f>
        <v>0</v>
      </c>
      <c r="C26" s="44">
        <f>Tabelle1!B64</f>
        <v>0</v>
      </c>
      <c r="D26" s="46">
        <f>Tabelle1!C64</f>
        <v>0</v>
      </c>
      <c r="E26" s="46">
        <f>Tabelle1!D64</f>
        <v>0</v>
      </c>
      <c r="F26" s="46">
        <f>Tabelle1!E64</f>
        <v>0</v>
      </c>
      <c r="G26" s="50"/>
      <c r="H26" s="50"/>
      <c r="I26" s="45">
        <f>Tabelle1!Y64</f>
        <v>0</v>
      </c>
      <c r="J26" s="52" t="e">
        <f>Tabelle1!#REF!</f>
        <v>#REF!</v>
      </c>
      <c r="K26" s="47">
        <f>Tabelle1!Z64</f>
        <v>0</v>
      </c>
      <c r="L26" s="47"/>
      <c r="M26" s="48" t="e">
        <f>Tabelle1!#REF!</f>
        <v>#REF!</v>
      </c>
      <c r="N26" s="48">
        <f>Tabelle1!AC64</f>
        <v>0</v>
      </c>
      <c r="O26" s="53" t="e">
        <f>Tabelle1!AD64</f>
        <v>#REF!</v>
      </c>
    </row>
    <row r="27" spans="2:15" x14ac:dyDescent="0.25">
      <c r="B27" s="36"/>
    </row>
    <row r="28" spans="2:15" x14ac:dyDescent="0.25">
      <c r="B28" s="36"/>
      <c r="M28" s="34" t="e">
        <f>SUM(M13:M26)</f>
        <v>#REF!</v>
      </c>
      <c r="N28" s="34"/>
      <c r="O28" s="34" t="e">
        <f>SUM(O13:O26)</f>
        <v>#REF!</v>
      </c>
    </row>
    <row r="29" spans="2:15" x14ac:dyDescent="0.25">
      <c r="B29" s="36"/>
    </row>
    <row r="30" spans="2:15" x14ac:dyDescent="0.25">
      <c r="B30" s="36"/>
    </row>
    <row r="31" spans="2:15" x14ac:dyDescent="0.25">
      <c r="B31" s="36"/>
    </row>
    <row r="32" spans="2:15" x14ac:dyDescent="0.25">
      <c r="B32" s="36"/>
    </row>
    <row r="33" spans="2:2" x14ac:dyDescent="0.25">
      <c r="B33" s="36"/>
    </row>
    <row r="34" spans="2:2" x14ac:dyDescent="0.25">
      <c r="B34" s="36"/>
    </row>
    <row r="35" spans="2:2" x14ac:dyDescent="0.25">
      <c r="B35" s="36"/>
    </row>
    <row r="36" spans="2:2" x14ac:dyDescent="0.25">
      <c r="B36" s="36"/>
    </row>
    <row r="37" spans="2:2" x14ac:dyDescent="0.25">
      <c r="B37" s="36"/>
    </row>
    <row r="38" spans="2:2" x14ac:dyDescent="0.25">
      <c r="B38" s="36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4F3F-F239-4D33-99A8-C43FF6AE0D07}">
  <dimension ref="E3:O21"/>
  <sheetViews>
    <sheetView workbookViewId="0">
      <selection activeCell="J19" sqref="J19"/>
    </sheetView>
  </sheetViews>
  <sheetFormatPr baseColWidth="10" defaultRowHeight="15" x14ac:dyDescent="0.25"/>
  <cols>
    <col min="9" max="9" width="15.140625" customWidth="1"/>
    <col min="10" max="10" width="11.28515625" customWidth="1"/>
  </cols>
  <sheetData>
    <row r="3" spans="5:15" x14ac:dyDescent="0.25">
      <c r="E3" t="s">
        <v>38</v>
      </c>
      <c r="G3" t="s">
        <v>26</v>
      </c>
      <c r="I3" t="s">
        <v>17</v>
      </c>
      <c r="L3" t="s">
        <v>39</v>
      </c>
    </row>
    <row r="4" spans="5:15" x14ac:dyDescent="0.25">
      <c r="E4" t="s">
        <v>16</v>
      </c>
      <c r="G4" t="s">
        <v>40</v>
      </c>
      <c r="I4" t="s">
        <v>41</v>
      </c>
      <c r="L4" t="s">
        <v>42</v>
      </c>
      <c r="O4">
        <v>86</v>
      </c>
    </row>
    <row r="5" spans="5:15" x14ac:dyDescent="0.25">
      <c r="G5" t="s">
        <v>43</v>
      </c>
      <c r="I5" t="s">
        <v>44</v>
      </c>
      <c r="L5" t="s">
        <v>45</v>
      </c>
    </row>
    <row r="6" spans="5:15" x14ac:dyDescent="0.25">
      <c r="I6" t="s">
        <v>46</v>
      </c>
      <c r="L6" t="s">
        <v>7</v>
      </c>
      <c r="O6">
        <v>54.14</v>
      </c>
    </row>
    <row r="7" spans="5:15" x14ac:dyDescent="0.25">
      <c r="I7" t="s">
        <v>47</v>
      </c>
      <c r="L7" t="s">
        <v>48</v>
      </c>
      <c r="O7">
        <v>66</v>
      </c>
    </row>
    <row r="8" spans="5:15" x14ac:dyDescent="0.25">
      <c r="I8" t="s">
        <v>30</v>
      </c>
      <c r="L8" t="s">
        <v>49</v>
      </c>
      <c r="O8">
        <v>74</v>
      </c>
    </row>
    <row r="9" spans="5:15" x14ac:dyDescent="0.25">
      <c r="I9" t="s">
        <v>50</v>
      </c>
      <c r="L9" t="s">
        <v>30</v>
      </c>
      <c r="O9">
        <v>96.14</v>
      </c>
    </row>
    <row r="10" spans="5:15" x14ac:dyDescent="0.25">
      <c r="I10" t="s">
        <v>51</v>
      </c>
      <c r="O10">
        <v>86.14</v>
      </c>
    </row>
    <row r="11" spans="5:15" x14ac:dyDescent="0.25">
      <c r="I11" t="s">
        <v>52</v>
      </c>
      <c r="O11">
        <v>100.14</v>
      </c>
    </row>
    <row r="12" spans="5:15" x14ac:dyDescent="0.25">
      <c r="I12" t="s">
        <v>53</v>
      </c>
    </row>
    <row r="13" spans="5:15" x14ac:dyDescent="0.25">
      <c r="I13" t="s">
        <v>54</v>
      </c>
    </row>
    <row r="14" spans="5:15" x14ac:dyDescent="0.25">
      <c r="I14" t="s">
        <v>55</v>
      </c>
    </row>
    <row r="15" spans="5:15" x14ac:dyDescent="0.25">
      <c r="I15" t="s">
        <v>56</v>
      </c>
    </row>
    <row r="16" spans="5:15" x14ac:dyDescent="0.25">
      <c r="I16" t="s">
        <v>57</v>
      </c>
    </row>
    <row r="17" spans="9:9" x14ac:dyDescent="0.25">
      <c r="I17" t="s">
        <v>59</v>
      </c>
    </row>
    <row r="18" spans="9:9" x14ac:dyDescent="0.25">
      <c r="I18" t="s">
        <v>77</v>
      </c>
    </row>
    <row r="19" spans="9:9" x14ac:dyDescent="0.25">
      <c r="I19" t="s">
        <v>78</v>
      </c>
    </row>
    <row r="20" spans="9:9" x14ac:dyDescent="0.25">
      <c r="I20" t="s">
        <v>79</v>
      </c>
    </row>
    <row r="21" spans="9:9" x14ac:dyDescent="0.25">
      <c r="I21" t="s">
        <v>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6</vt:i4>
      </vt:variant>
    </vt:vector>
  </HeadingPairs>
  <TitlesOfParts>
    <vt:vector size="9" baseType="lpstr">
      <vt:lpstr>Tabelle1</vt:lpstr>
      <vt:lpstr>Tabelle3</vt:lpstr>
      <vt:lpstr>Tabelle2</vt:lpstr>
      <vt:lpstr>Aluschale</vt:lpstr>
      <vt:lpstr>Aluschalen</vt:lpstr>
      <vt:lpstr>Fenster</vt:lpstr>
      <vt:lpstr>Fensterart</vt:lpstr>
      <vt:lpstr>zubehör</vt:lpstr>
      <vt:lpstr>zubehörteile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Jung, Florian</dc:creator>
  <cp:lastModifiedBy>Klaus Jobst</cp:lastModifiedBy>
  <cp:lastPrinted>2024-07-17T14:55:21Z</cp:lastPrinted>
  <dcterms:created xsi:type="dcterms:W3CDTF">2024-02-13T05:23:58Z</dcterms:created>
  <dcterms:modified xsi:type="dcterms:W3CDTF">2026-03-23T12:23:19Z</dcterms:modified>
</cp:coreProperties>
</file>